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Quant\QuantTrader\infiniTrader\cons\"/>
    </mc:Choice>
  </mc:AlternateContent>
  <xr:revisionPtr revIDLastSave="0" documentId="13_ncr:1_{5F032024-1E28-420B-A1E5-B69380AE64F1}" xr6:coauthVersionLast="47" xr6:coauthVersionMax="47" xr10:uidLastSave="{00000000-0000-0000-0000-000000000000}"/>
  <bookViews>
    <workbookView xWindow="1572" yWindow="1968" windowWidth="17544" windowHeight="10236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D2" i="1" a="1"/>
  <c r="D2" i="1" s="1"/>
  <c r="E2" i="1" a="1"/>
  <c r="E2" i="1" s="1"/>
  <c r="F2" i="1" a="1"/>
  <c r="F2" i="1" s="1"/>
  <c r="G2" i="1" a="1"/>
  <c r="G2" i="1" s="1"/>
  <c r="H2" i="1" a="1"/>
  <c r="H2" i="1" s="1"/>
  <c r="I2" i="1" a="1"/>
  <c r="I2" i="1" s="1"/>
  <c r="J2" i="1" a="1"/>
  <c r="J2" i="1" s="1"/>
  <c r="K2" i="1" a="1"/>
  <c r="K2" i="1" s="1"/>
  <c r="L2" i="1" a="1"/>
  <c r="L2" i="1" s="1"/>
  <c r="M2" i="1" a="1"/>
  <c r="M2" i="1" s="1"/>
  <c r="N2" i="1" a="1"/>
  <c r="N2" i="1" s="1"/>
  <c r="O2" i="1" a="1"/>
  <c r="O2" i="1" s="1"/>
  <c r="P2" i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 s="1"/>
  <c r="Z2" i="1" a="1"/>
  <c r="Z2" i="1" s="1"/>
  <c r="AA2" i="1" a="1"/>
  <c r="AA2" i="1" s="1"/>
  <c r="AB2" i="1" a="1"/>
  <c r="AB2" i="1" s="1"/>
  <c r="AG2" i="1" a="1"/>
  <c r="AG2" i="1"/>
  <c r="AH2" i="1" a="1"/>
  <c r="AH2" i="1"/>
  <c r="AJ2" i="1" a="1"/>
  <c r="AJ2" i="1" s="1"/>
  <c r="AK2" i="1" a="1"/>
  <c r="AK2" i="1"/>
  <c r="AL2" i="1" a="1"/>
  <c r="AL2" i="1" s="1"/>
  <c r="AM2" i="1" a="1"/>
  <c r="AM2" i="1" s="1"/>
  <c r="AN2" i="1" a="1"/>
  <c r="AN2" i="1" s="1"/>
  <c r="AO2" i="1" a="1"/>
  <c r="AO2" i="1" s="1"/>
  <c r="C3" i="1" a="1"/>
  <c r="C3" i="1" s="1"/>
  <c r="D3" i="1" a="1"/>
  <c r="D3" i="1" s="1"/>
  <c r="E3" i="1" a="1"/>
  <c r="E3" i="1" s="1"/>
  <c r="F3" i="1" a="1"/>
  <c r="F3" i="1" s="1"/>
  <c r="G3" i="1" a="1"/>
  <c r="G3" i="1" s="1"/>
  <c r="H3" i="1" a="1"/>
  <c r="H3" i="1" s="1"/>
  <c r="I3" i="1" a="1"/>
  <c r="I3" i="1" s="1"/>
  <c r="J3" i="1" a="1"/>
  <c r="J3" i="1" s="1"/>
  <c r="K3" i="1" a="1"/>
  <c r="K3" i="1" s="1"/>
  <c r="L3" i="1" a="1"/>
  <c r="L3" i="1" s="1"/>
  <c r="M3" i="1" a="1"/>
  <c r="M3" i="1" s="1"/>
  <c r="N3" i="1" a="1"/>
  <c r="N3" i="1" s="1"/>
  <c r="O3" i="1" a="1"/>
  <c r="O3" i="1" s="1"/>
  <c r="P3" i="1" a="1"/>
  <c r="P3" i="1" s="1"/>
  <c r="Q3" i="1" a="1"/>
  <c r="Q3" i="1" s="1"/>
  <c r="R3" i="1" a="1"/>
  <c r="R3" i="1" s="1"/>
  <c r="S3" i="1" a="1"/>
  <c r="S3" i="1" s="1"/>
  <c r="T3" i="1" a="1"/>
  <c r="T3" i="1" s="1"/>
  <c r="U3" i="1" a="1"/>
  <c r="U3" i="1" s="1"/>
  <c r="V3" i="1" a="1"/>
  <c r="V3" i="1" s="1"/>
  <c r="W3" i="1" a="1"/>
  <c r="W3" i="1" s="1"/>
  <c r="X3" i="1" a="1"/>
  <c r="X3" i="1" s="1"/>
  <c r="Y3" i="1" a="1"/>
  <c r="Y3" i="1"/>
  <c r="Z3" i="1" a="1"/>
  <c r="Z3" i="1"/>
  <c r="AA3" i="1" a="1"/>
  <c r="AA3" i="1" s="1"/>
  <c r="AB3" i="1" a="1"/>
  <c r="AB3" i="1" s="1"/>
  <c r="AG3" i="1" a="1"/>
  <c r="AG3" i="1" s="1"/>
  <c r="AH3" i="1" a="1"/>
  <c r="AH3" i="1" s="1"/>
  <c r="AJ3" i="1" a="1"/>
  <c r="AJ3" i="1" s="1"/>
  <c r="AK3" i="1" a="1"/>
  <c r="AK3" i="1" s="1"/>
  <c r="AL3" i="1" a="1"/>
  <c r="AL3" i="1" s="1"/>
  <c r="AM3" i="1" a="1"/>
  <c r="AM3" i="1" s="1"/>
  <c r="AN3" i="1" a="1"/>
  <c r="AN3" i="1" s="1"/>
  <c r="AO3" i="1" a="1"/>
  <c r="AO3" i="1" s="1"/>
  <c r="C4" i="1" a="1"/>
  <c r="C4" i="1" s="1"/>
  <c r="D4" i="1" a="1"/>
  <c r="D4" i="1" s="1"/>
  <c r="E4" i="1" a="1"/>
  <c r="E4" i="1" s="1"/>
  <c r="F4" i="1" a="1"/>
  <c r="F4" i="1" s="1"/>
  <c r="G4" i="1" a="1"/>
  <c r="G4" i="1" s="1"/>
  <c r="H4" i="1" a="1"/>
  <c r="H4" i="1" s="1"/>
  <c r="I4" i="1" a="1"/>
  <c r="I4" i="1" s="1"/>
  <c r="J4" i="1" a="1"/>
  <c r="J4" i="1" s="1"/>
  <c r="K4" i="1" a="1"/>
  <c r="K4" i="1" s="1"/>
  <c r="L4" i="1" a="1"/>
  <c r="L4" i="1" s="1"/>
  <c r="M4" i="1" a="1"/>
  <c r="M4" i="1" s="1"/>
  <c r="N4" i="1" a="1"/>
  <c r="N4" i="1" s="1"/>
  <c r="O4" i="1" a="1"/>
  <c r="O4" i="1" s="1"/>
  <c r="P4" i="1" a="1"/>
  <c r="P4" i="1" s="1"/>
  <c r="Q4" i="1" a="1"/>
  <c r="Q4" i="1" s="1"/>
  <c r="R4" i="1" a="1"/>
  <c r="R4" i="1" s="1"/>
  <c r="S4" i="1" a="1"/>
  <c r="S4" i="1" s="1"/>
  <c r="T4" i="1" a="1"/>
  <c r="T4" i="1" s="1"/>
  <c r="U4" i="1" a="1"/>
  <c r="U4" i="1" s="1"/>
  <c r="V4" i="1" a="1"/>
  <c r="V4" i="1" s="1"/>
  <c r="W4" i="1" a="1"/>
  <c r="W4" i="1" s="1"/>
  <c r="X4" i="1" a="1"/>
  <c r="X4" i="1" s="1"/>
  <c r="Y4" i="1" a="1"/>
  <c r="Y4" i="1"/>
  <c r="Z4" i="1" a="1"/>
  <c r="Z4" i="1" s="1"/>
  <c r="AA4" i="1" a="1"/>
  <c r="AA4" i="1" s="1"/>
  <c r="AB4" i="1" a="1"/>
  <c r="AB4" i="1" s="1"/>
  <c r="AG4" i="1" a="1"/>
  <c r="AG4" i="1" s="1"/>
  <c r="AH4" i="1" a="1"/>
  <c r="AH4" i="1" s="1"/>
  <c r="AJ4" i="1" a="1"/>
  <c r="AJ4" i="1" s="1"/>
  <c r="AK4" i="1" a="1"/>
  <c r="AK4" i="1" s="1"/>
  <c r="AL4" i="1" a="1"/>
  <c r="AL4" i="1"/>
  <c r="AM4" i="1" a="1"/>
  <c r="AM4" i="1" s="1"/>
  <c r="AN4" i="1" a="1"/>
  <c r="AN4" i="1" s="1"/>
  <c r="AO4" i="1" a="1"/>
  <c r="AO4" i="1" s="1"/>
  <c r="C5" i="1" a="1"/>
  <c r="C5" i="1" s="1"/>
  <c r="D5" i="1" a="1"/>
  <c r="D5" i="1" s="1"/>
  <c r="E5" i="1" a="1"/>
  <c r="E5" i="1" s="1"/>
  <c r="F5" i="1" a="1"/>
  <c r="F5" i="1"/>
  <c r="G5" i="1" a="1"/>
  <c r="G5" i="1" s="1"/>
  <c r="H5" i="1" a="1"/>
  <c r="H5" i="1" s="1"/>
  <c r="I5" i="1" a="1"/>
  <c r="I5" i="1" s="1"/>
  <c r="J5" i="1" a="1"/>
  <c r="J5" i="1" s="1"/>
  <c r="K5" i="1" a="1"/>
  <c r="K5" i="1" s="1"/>
  <c r="L5" i="1" a="1"/>
  <c r="L5" i="1" s="1"/>
  <c r="M5" i="1" a="1"/>
  <c r="M5" i="1" s="1"/>
  <c r="N5" i="1" a="1"/>
  <c r="N5" i="1" s="1"/>
  <c r="O5" i="1" a="1"/>
  <c r="O5" i="1" s="1"/>
  <c r="P5" i="1" a="1"/>
  <c r="P5" i="1" s="1"/>
  <c r="Q5" i="1" a="1"/>
  <c r="Q5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 s="1"/>
  <c r="Z5" i="1" a="1"/>
  <c r="Z5" i="1" s="1"/>
  <c r="AA5" i="1" a="1"/>
  <c r="AA5" i="1" s="1"/>
  <c r="AB5" i="1" a="1"/>
  <c r="AB5" i="1" s="1"/>
  <c r="AG5" i="1" a="1"/>
  <c r="AG5" i="1" s="1"/>
  <c r="AH5" i="1" a="1"/>
  <c r="AH5" i="1" s="1"/>
  <c r="AJ5" i="1" a="1"/>
  <c r="AJ5" i="1" s="1"/>
  <c r="AK5" i="1" a="1"/>
  <c r="AK5" i="1" s="1"/>
  <c r="AL5" i="1" a="1"/>
  <c r="AL5" i="1"/>
  <c r="AM5" i="1" a="1"/>
  <c r="AM5" i="1" s="1"/>
  <c r="AN5" i="1" a="1"/>
  <c r="AN5" i="1" s="1"/>
  <c r="AO5" i="1" a="1"/>
  <c r="AO5" i="1" s="1"/>
  <c r="C6" i="1" a="1"/>
  <c r="C6" i="1" s="1"/>
  <c r="D6" i="1" a="1"/>
  <c r="D6" i="1"/>
  <c r="E6" i="1" a="1"/>
  <c r="E6" i="1" s="1"/>
  <c r="F6" i="1" a="1"/>
  <c r="F6" i="1" s="1"/>
  <c r="G6" i="1" a="1"/>
  <c r="G6" i="1" s="1"/>
  <c r="H6" i="1" a="1"/>
  <c r="H6" i="1" s="1"/>
  <c r="I6" i="1" a="1"/>
  <c r="I6" i="1" s="1"/>
  <c r="J6" i="1" a="1"/>
  <c r="J6" i="1" s="1"/>
  <c r="K6" i="1" a="1"/>
  <c r="K6" i="1" s="1"/>
  <c r="L6" i="1" a="1"/>
  <c r="L6" i="1" s="1"/>
  <c r="M6" i="1" a="1"/>
  <c r="M6" i="1" s="1"/>
  <c r="N6" i="1" a="1"/>
  <c r="N6" i="1" s="1"/>
  <c r="O6" i="1" a="1"/>
  <c r="O6" i="1" s="1"/>
  <c r="P6" i="1" a="1"/>
  <c r="P6" i="1" s="1"/>
  <c r="Q6" i="1" a="1"/>
  <c r="Q6" i="1" s="1"/>
  <c r="R6" i="1" a="1"/>
  <c r="R6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Y6" i="1" a="1"/>
  <c r="Y6" i="1" s="1"/>
  <c r="Z6" i="1" a="1"/>
  <c r="Z6" i="1"/>
  <c r="AA6" i="1" a="1"/>
  <c r="AA6" i="1" s="1"/>
  <c r="AB6" i="1" a="1"/>
  <c r="AB6" i="1" s="1"/>
  <c r="AG6" i="1" a="1"/>
  <c r="AG6" i="1" s="1"/>
  <c r="AH6" i="1" a="1"/>
  <c r="AH6" i="1"/>
  <c r="AJ6" i="1" a="1"/>
  <c r="AJ6" i="1" s="1"/>
  <c r="AK6" i="1" a="1"/>
  <c r="AK6" i="1"/>
  <c r="AL6" i="1" a="1"/>
  <c r="AL6" i="1" s="1"/>
  <c r="AM6" i="1" a="1"/>
  <c r="AM6" i="1" s="1"/>
  <c r="AN6" i="1" a="1"/>
  <c r="AN6" i="1" s="1"/>
  <c r="AO6" i="1" a="1"/>
  <c r="AO6" i="1" s="1"/>
  <c r="C7" i="1" a="1"/>
  <c r="C7" i="1" s="1"/>
  <c r="D7" i="1" a="1"/>
  <c r="D7" i="1" s="1"/>
  <c r="E7" i="1" a="1"/>
  <c r="E7" i="1" s="1"/>
  <c r="F7" i="1" a="1"/>
  <c r="F7" i="1" s="1"/>
  <c r="G7" i="1" a="1"/>
  <c r="G7" i="1" s="1"/>
  <c r="H7" i="1" a="1"/>
  <c r="H7" i="1" s="1"/>
  <c r="I7" i="1" a="1"/>
  <c r="I7" i="1" s="1"/>
  <c r="J7" i="1" a="1"/>
  <c r="J7" i="1" s="1"/>
  <c r="K7" i="1" a="1"/>
  <c r="K7" i="1" s="1"/>
  <c r="L7" i="1" a="1"/>
  <c r="L7" i="1" s="1"/>
  <c r="M7" i="1" a="1"/>
  <c r="M7" i="1" s="1"/>
  <c r="N7" i="1" a="1"/>
  <c r="N7" i="1" s="1"/>
  <c r="O7" i="1" a="1"/>
  <c r="O7" i="1" s="1"/>
  <c r="P7" i="1" a="1"/>
  <c r="P7" i="1" s="1"/>
  <c r="Q7" i="1" a="1"/>
  <c r="Q7" i="1" s="1"/>
  <c r="R7" i="1" a="1"/>
  <c r="R7" i="1" s="1"/>
  <c r="S7" i="1" a="1"/>
  <c r="S7" i="1" s="1"/>
  <c r="T7" i="1" a="1"/>
  <c r="T7" i="1" s="1"/>
  <c r="U7" i="1" a="1"/>
  <c r="U7" i="1" s="1"/>
  <c r="V7" i="1" a="1"/>
  <c r="V7" i="1" s="1"/>
  <c r="W7" i="1" a="1"/>
  <c r="W7" i="1" s="1"/>
  <c r="X7" i="1" a="1"/>
  <c r="X7" i="1" s="1"/>
  <c r="Y7" i="1" a="1"/>
  <c r="Y7" i="1" s="1"/>
  <c r="Z7" i="1" a="1"/>
  <c r="Z7" i="1"/>
  <c r="AA7" i="1" a="1"/>
  <c r="AA7" i="1" s="1"/>
  <c r="AB7" i="1" a="1"/>
  <c r="AB7" i="1" s="1"/>
  <c r="AG7" i="1" a="1"/>
  <c r="AG7" i="1" s="1"/>
  <c r="AH7" i="1" a="1"/>
  <c r="AH7" i="1"/>
  <c r="AJ7" i="1" a="1"/>
  <c r="AJ7" i="1" s="1"/>
  <c r="AK7" i="1" a="1"/>
  <c r="AK7" i="1" s="1"/>
  <c r="AL7" i="1" a="1"/>
  <c r="AL7" i="1"/>
  <c r="AM7" i="1" a="1"/>
  <c r="AM7" i="1" s="1"/>
  <c r="AN7" i="1" a="1"/>
  <c r="AN7" i="1" s="1"/>
  <c r="AO7" i="1" a="1"/>
  <c r="AO7" i="1" s="1"/>
  <c r="C8" i="1" a="1"/>
  <c r="C8" i="1" s="1"/>
  <c r="D8" i="1" a="1"/>
  <c r="D8" i="1" s="1"/>
  <c r="E8" i="1" a="1"/>
  <c r="E8" i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/>
  <c r="Z8" i="1" a="1"/>
  <c r="Z8" i="1"/>
  <c r="AA8" i="1" a="1"/>
  <c r="AA8" i="1" s="1"/>
  <c r="AB8" i="1" a="1"/>
  <c r="AB8" i="1" s="1"/>
  <c r="AG8" i="1" a="1"/>
  <c r="AG8" i="1" s="1"/>
  <c r="AH8" i="1" a="1"/>
  <c r="AH8" i="1" s="1"/>
  <c r="AJ8" i="1" a="1"/>
  <c r="AJ8" i="1" s="1"/>
  <c r="AK8" i="1" a="1"/>
  <c r="AK8" i="1" s="1"/>
  <c r="AL8" i="1" a="1"/>
  <c r="AL8" i="1" s="1"/>
  <c r="AM8" i="1" a="1"/>
  <c r="AM8" i="1" s="1"/>
  <c r="AN8" i="1" a="1"/>
  <c r="AN8" i="1" s="1"/>
  <c r="AO8" i="1" a="1"/>
  <c r="AO8" i="1" s="1"/>
  <c r="C9" i="1" a="1"/>
  <c r="C9" i="1" s="1"/>
  <c r="D9" i="1" a="1"/>
  <c r="D9" i="1"/>
  <c r="E9" i="1" a="1"/>
  <c r="E9" i="1" s="1"/>
  <c r="F9" i="1" a="1"/>
  <c r="F9" i="1" s="1"/>
  <c r="G9" i="1" a="1"/>
  <c r="G9" i="1" s="1"/>
  <c r="H9" i="1" a="1"/>
  <c r="H9" i="1" s="1"/>
  <c r="I9" i="1" a="1"/>
  <c r="I9" i="1" s="1"/>
  <c r="J9" i="1" a="1"/>
  <c r="J9" i="1" s="1"/>
  <c r="K9" i="1" a="1"/>
  <c r="K9" i="1" s="1"/>
  <c r="L9" i="1" a="1"/>
  <c r="L9" i="1" s="1"/>
  <c r="M9" i="1" a="1"/>
  <c r="M9" i="1" s="1"/>
  <c r="N9" i="1" a="1"/>
  <c r="N9" i="1" s="1"/>
  <c r="O9" i="1" a="1"/>
  <c r="O9" i="1" s="1"/>
  <c r="P9" i="1" a="1"/>
  <c r="P9" i="1" s="1"/>
  <c r="Q9" i="1" a="1"/>
  <c r="Q9" i="1" s="1"/>
  <c r="R9" i="1" a="1"/>
  <c r="R9" i="1" s="1"/>
  <c r="S9" i="1" a="1"/>
  <c r="S9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Y9" i="1" a="1"/>
  <c r="Y9" i="1" s="1"/>
  <c r="Z9" i="1" a="1"/>
  <c r="Z9" i="1"/>
  <c r="AA9" i="1" a="1"/>
  <c r="AA9" i="1" s="1"/>
  <c r="AB9" i="1" a="1"/>
  <c r="AB9" i="1" s="1"/>
  <c r="AG9" i="1" a="1"/>
  <c r="AG9" i="1" s="1"/>
  <c r="AH9" i="1" a="1"/>
  <c r="AH9" i="1" s="1"/>
  <c r="AJ9" i="1" a="1"/>
  <c r="AJ9" i="1" s="1"/>
  <c r="AK9" i="1" a="1"/>
  <c r="AK9" i="1" s="1"/>
  <c r="AL9" i="1" a="1"/>
  <c r="AL9" i="1" s="1"/>
  <c r="AM9" i="1" a="1"/>
  <c r="AM9" i="1" s="1"/>
  <c r="AN9" i="1" a="1"/>
  <c r="AN9" i="1" s="1"/>
  <c r="AO9" i="1" a="1"/>
  <c r="AO9" i="1" s="1"/>
  <c r="C10" i="1" a="1"/>
  <c r="C10" i="1" s="1"/>
  <c r="D10" i="1" a="1"/>
  <c r="D10" i="1" s="1"/>
  <c r="E10" i="1" a="1"/>
  <c r="E10" i="1" s="1"/>
  <c r="F10" i="1" a="1"/>
  <c r="F10" i="1"/>
  <c r="G10" i="1" a="1"/>
  <c r="G10" i="1" s="1"/>
  <c r="H10" i="1" a="1"/>
  <c r="H10" i="1" s="1"/>
  <c r="I10" i="1" a="1"/>
  <c r="I10" i="1" s="1"/>
  <c r="J10" i="1" a="1"/>
  <c r="J10" i="1" s="1"/>
  <c r="K10" i="1" a="1"/>
  <c r="K10" i="1" s="1"/>
  <c r="L10" i="1" a="1"/>
  <c r="L10" i="1" s="1"/>
  <c r="M10" i="1" a="1"/>
  <c r="M10" i="1" s="1"/>
  <c r="N10" i="1" a="1"/>
  <c r="N10" i="1" s="1"/>
  <c r="O10" i="1" a="1"/>
  <c r="O10" i="1" s="1"/>
  <c r="P10" i="1" a="1"/>
  <c r="P10" i="1" s="1"/>
  <c r="Q10" i="1" a="1"/>
  <c r="Q10" i="1" s="1"/>
  <c r="R10" i="1" a="1"/>
  <c r="R10" i="1" s="1"/>
  <c r="S10" i="1" a="1"/>
  <c r="S10" i="1" s="1"/>
  <c r="T10" i="1" a="1"/>
  <c r="T10" i="1" s="1"/>
  <c r="U10" i="1" a="1"/>
  <c r="U10" i="1" s="1"/>
  <c r="V10" i="1" a="1"/>
  <c r="V10" i="1" s="1"/>
  <c r="W10" i="1" a="1"/>
  <c r="W10" i="1" s="1"/>
  <c r="X10" i="1" a="1"/>
  <c r="X10" i="1" s="1"/>
  <c r="Y10" i="1" a="1"/>
  <c r="Y10" i="1" s="1"/>
  <c r="Z10" i="1" a="1"/>
  <c r="Z10" i="1" s="1"/>
  <c r="AA10" i="1" a="1"/>
  <c r="AA10" i="1" s="1"/>
  <c r="AB10" i="1" a="1"/>
  <c r="AB10" i="1" s="1"/>
  <c r="AG10" i="1" a="1"/>
  <c r="AG10" i="1" s="1"/>
  <c r="AH10" i="1" a="1"/>
  <c r="AH10" i="1" s="1"/>
  <c r="AJ10" i="1" a="1"/>
  <c r="AJ10" i="1" s="1"/>
  <c r="AK10" i="1" a="1"/>
  <c r="AK10" i="1"/>
  <c r="AL10" i="1" a="1"/>
  <c r="AL10" i="1"/>
  <c r="AM10" i="1" a="1"/>
  <c r="AM10" i="1" s="1"/>
  <c r="AN10" i="1" a="1"/>
  <c r="AN10" i="1" s="1"/>
  <c r="AO10" i="1" a="1"/>
  <c r="AO10" i="1" s="1"/>
  <c r="C11" i="1" a="1"/>
  <c r="C11" i="1" s="1"/>
  <c r="D11" i="1" a="1"/>
  <c r="D11" i="1" s="1"/>
  <c r="E11" i="1" a="1"/>
  <c r="E11" i="1" s="1"/>
  <c r="F11" i="1" a="1"/>
  <c r="F11" i="1" s="1"/>
  <c r="G11" i="1" a="1"/>
  <c r="G11" i="1" s="1"/>
  <c r="H11" i="1" a="1"/>
  <c r="H11" i="1" s="1"/>
  <c r="I11" i="1" a="1"/>
  <c r="I11" i="1" s="1"/>
  <c r="J11" i="1" a="1"/>
  <c r="J11" i="1" s="1"/>
  <c r="K11" i="1" a="1"/>
  <c r="K11" i="1" s="1"/>
  <c r="L11" i="1" a="1"/>
  <c r="L11" i="1" s="1"/>
  <c r="M11" i="1" a="1"/>
  <c r="M11" i="1" s="1"/>
  <c r="N11" i="1" a="1"/>
  <c r="N11" i="1" s="1"/>
  <c r="O11" i="1" a="1"/>
  <c r="O11" i="1" s="1"/>
  <c r="P11" i="1" a="1"/>
  <c r="P11" i="1" s="1"/>
  <c r="Q11" i="1" a="1"/>
  <c r="Q11" i="1" s="1"/>
  <c r="R11" i="1" a="1"/>
  <c r="R11" i="1" s="1"/>
  <c r="S11" i="1" a="1"/>
  <c r="S11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Y11" i="1" a="1"/>
  <c r="Y11" i="1" s="1"/>
  <c r="Z11" i="1" a="1"/>
  <c r="Z11" i="1" s="1"/>
  <c r="AA11" i="1" a="1"/>
  <c r="AA11" i="1" s="1"/>
  <c r="AB11" i="1" a="1"/>
  <c r="AB11" i="1" s="1"/>
  <c r="AG11" i="1" a="1"/>
  <c r="AG11" i="1" s="1"/>
  <c r="AH11" i="1" a="1"/>
  <c r="AH11" i="1"/>
  <c r="AJ11" i="1" a="1"/>
  <c r="AJ11" i="1" s="1"/>
  <c r="AK11" i="1" a="1"/>
  <c r="AK11" i="1"/>
  <c r="AL11" i="1" a="1"/>
  <c r="AL11" i="1" s="1"/>
  <c r="AM11" i="1" a="1"/>
  <c r="AM11" i="1" s="1"/>
  <c r="AN11" i="1" a="1"/>
  <c r="AN11" i="1" s="1"/>
  <c r="AO11" i="1" a="1"/>
  <c r="AO11" i="1" s="1"/>
  <c r="C12" i="1" a="1"/>
  <c r="C12" i="1" s="1"/>
  <c r="D12" i="1" a="1"/>
  <c r="D12" i="1" s="1"/>
  <c r="E12" i="1" a="1"/>
  <c r="E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G12" i="1" a="1"/>
  <c r="AG12" i="1"/>
  <c r="AH12" i="1" a="1"/>
  <c r="AH12" i="1"/>
  <c r="AJ12" i="1" a="1"/>
  <c r="AJ12" i="1" s="1"/>
  <c r="AK12" i="1" a="1"/>
  <c r="AK12" i="1" s="1"/>
  <c r="AL12" i="1" a="1"/>
  <c r="AL12" i="1" s="1"/>
  <c r="AM12" i="1" a="1"/>
  <c r="AM12" i="1" s="1"/>
  <c r="AN12" i="1" a="1"/>
  <c r="AN12" i="1" s="1"/>
  <c r="AO12" i="1" a="1"/>
  <c r="AO12" i="1" s="1"/>
  <c r="C13" i="1" a="1"/>
  <c r="C13" i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G13" i="1" a="1"/>
  <c r="AG13" i="1" s="1"/>
  <c r="AH13" i="1" a="1"/>
  <c r="AH13" i="1"/>
  <c r="AJ13" i="1" a="1"/>
  <c r="AJ13" i="1" s="1"/>
  <c r="AK13" i="1" a="1"/>
  <c r="AK13" i="1" s="1"/>
  <c r="AL13" i="1" a="1"/>
  <c r="AL13" i="1" s="1"/>
  <c r="AM13" i="1" a="1"/>
  <c r="AM13" i="1" s="1"/>
  <c r="AN13" i="1" a="1"/>
  <c r="AN13" i="1" s="1"/>
  <c r="AO13" i="1" a="1"/>
  <c r="AO13" i="1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G14" i="1" a="1"/>
  <c r="AG14" i="1" s="1"/>
  <c r="AH14" i="1" a="1"/>
  <c r="AH14" i="1"/>
  <c r="AJ14" i="1" a="1"/>
  <c r="AJ14" i="1" s="1"/>
  <c r="AK14" i="1" a="1"/>
  <c r="AK14" i="1" s="1"/>
  <c r="AL14" i="1" a="1"/>
  <c r="AL14" i="1" s="1"/>
  <c r="AM14" i="1" a="1"/>
  <c r="AM14" i="1" s="1"/>
  <c r="AN14" i="1" a="1"/>
  <c r="AN14" i="1" s="1"/>
  <c r="AO14" i="1" a="1"/>
  <c r="AO14" i="1" s="1"/>
  <c r="C15" i="1" a="1"/>
  <c r="C15" i="1" s="1"/>
  <c r="D15" i="1" a="1"/>
  <c r="D15" i="1" s="1"/>
  <c r="E15" i="1" a="1"/>
  <c r="E15" i="1"/>
  <c r="F15" i="1" a="1"/>
  <c r="F15" i="1"/>
  <c r="G15" i="1" a="1"/>
  <c r="G15" i="1" s="1"/>
  <c r="H15" i="1" a="1"/>
  <c r="H15" i="1" s="1"/>
  <c r="I15" i="1" a="1"/>
  <c r="I15" i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G15" i="1" a="1"/>
  <c r="AG15" i="1"/>
  <c r="AH15" i="1" a="1"/>
  <c r="AH15" i="1"/>
  <c r="AJ15" i="1" a="1"/>
  <c r="AJ15" i="1" s="1"/>
  <c r="AK15" i="1" a="1"/>
  <c r="AK15" i="1" s="1"/>
  <c r="AL15" i="1" a="1"/>
  <c r="AL15" i="1" s="1"/>
  <c r="AM15" i="1" a="1"/>
  <c r="AM15" i="1" s="1"/>
  <c r="AN15" i="1" a="1"/>
  <c r="AN15" i="1" s="1"/>
  <c r="AO15" i="1" a="1"/>
  <c r="AO15" i="1"/>
  <c r="C16" i="1" a="1"/>
  <c r="C16" i="1" s="1"/>
  <c r="D16" i="1" a="1"/>
  <c r="D16" i="1" s="1"/>
  <c r="E16" i="1" a="1"/>
  <c r="E16" i="1" s="1"/>
  <c r="F16" i="1" a="1"/>
  <c r="F16" i="1" s="1"/>
  <c r="G16" i="1" a="1"/>
  <c r="G16" i="1" s="1"/>
  <c r="H16" i="1" a="1"/>
  <c r="H16" i="1" s="1"/>
  <c r="I16" i="1" a="1"/>
  <c r="I16" i="1" s="1"/>
  <c r="J16" i="1" a="1"/>
  <c r="J16" i="1" s="1"/>
  <c r="K16" i="1" a="1"/>
  <c r="K16" i="1" s="1"/>
  <c r="L16" i="1" a="1"/>
  <c r="L16" i="1" s="1"/>
  <c r="M16" i="1" a="1"/>
  <c r="M16" i="1" s="1"/>
  <c r="N16" i="1" a="1"/>
  <c r="N16" i="1" s="1"/>
  <c r="O16" i="1" a="1"/>
  <c r="O16" i="1" s="1"/>
  <c r="P16" i="1" a="1"/>
  <c r="P16" i="1" s="1"/>
  <c r="Q16" i="1" a="1"/>
  <c r="Q16" i="1" s="1"/>
  <c r="R16" i="1" a="1"/>
  <c r="R16" i="1" s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 s="1"/>
  <c r="Z16" i="1" a="1"/>
  <c r="Z16" i="1" s="1"/>
  <c r="AA16" i="1" a="1"/>
  <c r="AA16" i="1" s="1"/>
  <c r="AB16" i="1" a="1"/>
  <c r="AB16" i="1" s="1"/>
  <c r="AG16" i="1" a="1"/>
  <c r="AG16" i="1"/>
  <c r="AH16" i="1" a="1"/>
  <c r="AH16" i="1"/>
  <c r="AJ16" i="1" a="1"/>
  <c r="AJ16" i="1" s="1"/>
  <c r="AK16" i="1" a="1"/>
  <c r="AK16" i="1" s="1"/>
  <c r="AL16" i="1" a="1"/>
  <c r="AL16" i="1" s="1"/>
  <c r="AM16" i="1" a="1"/>
  <c r="AM16" i="1" s="1"/>
  <c r="AN16" i="1" a="1"/>
  <c r="AN16" i="1" s="1"/>
  <c r="AO16" i="1" a="1"/>
  <c r="AO16" i="1" s="1"/>
  <c r="C17" i="1" a="1"/>
  <c r="C17" i="1"/>
  <c r="D17" i="1" a="1"/>
  <c r="D17" i="1"/>
  <c r="E17" i="1" a="1"/>
  <c r="E17" i="1"/>
  <c r="F17" i="1" a="1"/>
  <c r="F17" i="1" s="1"/>
  <c r="G17" i="1" a="1"/>
  <c r="G17" i="1" s="1"/>
  <c r="H17" i="1" a="1"/>
  <c r="H17" i="1" s="1"/>
  <c r="I17" i="1" a="1"/>
  <c r="I17" i="1" s="1"/>
  <c r="J17" i="1" a="1"/>
  <c r="J17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P17" i="1" a="1"/>
  <c r="P17" i="1" s="1"/>
  <c r="Q17" i="1" a="1"/>
  <c r="Q17" i="1" s="1"/>
  <c r="R17" i="1" a="1"/>
  <c r="R17" i="1" s="1"/>
  <c r="S17" i="1" a="1"/>
  <c r="S17" i="1" s="1"/>
  <c r="T17" i="1" a="1"/>
  <c r="T17" i="1" s="1"/>
  <c r="U17" i="1" a="1"/>
  <c r="U17" i="1" s="1"/>
  <c r="V17" i="1" a="1"/>
  <c r="V17" i="1" s="1"/>
  <c r="W17" i="1" a="1"/>
  <c r="W17" i="1" s="1"/>
  <c r="X17" i="1" a="1"/>
  <c r="X17" i="1" s="1"/>
  <c r="Y17" i="1" a="1"/>
  <c r="Y17" i="1"/>
  <c r="Z17" i="1" a="1"/>
  <c r="Z17" i="1" s="1"/>
  <c r="AA17" i="1" a="1"/>
  <c r="AA17" i="1" s="1"/>
  <c r="AB17" i="1" a="1"/>
  <c r="AB17" i="1" s="1"/>
  <c r="AG17" i="1" a="1"/>
  <c r="AG17" i="1" s="1"/>
  <c r="AH17" i="1" a="1"/>
  <c r="AH17" i="1"/>
  <c r="AJ17" i="1" a="1"/>
  <c r="AJ17" i="1" s="1"/>
  <c r="AK17" i="1" a="1"/>
  <c r="AK17" i="1"/>
  <c r="AL17" i="1" a="1"/>
  <c r="AL17" i="1"/>
  <c r="AM17" i="1" a="1"/>
  <c r="AM17" i="1" s="1"/>
  <c r="AN17" i="1" a="1"/>
  <c r="AN17" i="1" s="1"/>
  <c r="AO17" i="1" a="1"/>
  <c r="AO17" i="1" s="1"/>
  <c r="C18" i="1" a="1"/>
  <c r="C18" i="1" s="1"/>
  <c r="D18" i="1" a="1"/>
  <c r="D18" i="1"/>
  <c r="E18" i="1" a="1"/>
  <c r="E18" i="1" s="1"/>
  <c r="F18" i="1" a="1"/>
  <c r="F18" i="1" s="1"/>
  <c r="G18" i="1" a="1"/>
  <c r="G18" i="1" s="1"/>
  <c r="H18" i="1" a="1"/>
  <c r="H18" i="1" s="1"/>
  <c r="I18" i="1" a="1"/>
  <c r="I18" i="1" s="1"/>
  <c r="J18" i="1" a="1"/>
  <c r="J18" i="1" s="1"/>
  <c r="K18" i="1" a="1"/>
  <c r="K18" i="1" s="1"/>
  <c r="L18" i="1" a="1"/>
  <c r="L18" i="1" s="1"/>
  <c r="M18" i="1" a="1"/>
  <c r="M18" i="1" s="1"/>
  <c r="N18" i="1" a="1"/>
  <c r="N18" i="1" s="1"/>
  <c r="O18" i="1" a="1"/>
  <c r="O18" i="1" s="1"/>
  <c r="P18" i="1" a="1"/>
  <c r="P18" i="1" s="1"/>
  <c r="Q18" i="1" a="1"/>
  <c r="Q18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W18" i="1" a="1"/>
  <c r="W18" i="1" s="1"/>
  <c r="X18" i="1" a="1"/>
  <c r="X18" i="1" s="1"/>
  <c r="Y18" i="1" a="1"/>
  <c r="Y18" i="1" s="1"/>
  <c r="Z18" i="1" a="1"/>
  <c r="Z18" i="1" s="1"/>
  <c r="AA18" i="1" a="1"/>
  <c r="AA18" i="1" s="1"/>
  <c r="AB18" i="1" a="1"/>
  <c r="AB18" i="1" s="1"/>
  <c r="AG18" i="1" a="1"/>
  <c r="AG18" i="1" s="1"/>
  <c r="AH18" i="1" a="1"/>
  <c r="AH18" i="1" s="1"/>
  <c r="AJ18" i="1" a="1"/>
  <c r="AJ18" i="1" s="1"/>
  <c r="AK18" i="1" a="1"/>
  <c r="AK18" i="1"/>
  <c r="AL18" i="1" a="1"/>
  <c r="AL18" i="1" s="1"/>
  <c r="AM18" i="1" a="1"/>
  <c r="AM18" i="1" s="1"/>
  <c r="AN18" i="1" a="1"/>
  <c r="AN18" i="1" s="1"/>
  <c r="AO18" i="1" a="1"/>
  <c r="AO18" i="1" s="1"/>
  <c r="C19" i="1" a="1"/>
  <c r="C19" i="1" s="1"/>
  <c r="D19" i="1" a="1"/>
  <c r="D19" i="1" s="1"/>
  <c r="E19" i="1" a="1"/>
  <c r="E19" i="1" s="1"/>
  <c r="F19" i="1" a="1"/>
  <c r="F19" i="1" s="1"/>
  <c r="G19" i="1" a="1"/>
  <c r="G19" i="1" s="1"/>
  <c r="H19" i="1" a="1"/>
  <c r="H19" i="1" s="1"/>
  <c r="I19" i="1" a="1"/>
  <c r="I19" i="1" s="1"/>
  <c r="J19" i="1" a="1"/>
  <c r="J19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P19" i="1" a="1"/>
  <c r="P19" i="1" s="1"/>
  <c r="Q19" i="1" a="1"/>
  <c r="Q19" i="1" s="1"/>
  <c r="R19" i="1" a="1"/>
  <c r="R19" i="1" s="1"/>
  <c r="S19" i="1" a="1"/>
  <c r="S19" i="1" s="1"/>
  <c r="T19" i="1" a="1"/>
  <c r="T19" i="1" s="1"/>
  <c r="U19" i="1" a="1"/>
  <c r="U19" i="1" s="1"/>
  <c r="V19" i="1" a="1"/>
  <c r="V19" i="1" s="1"/>
  <c r="W19" i="1" a="1"/>
  <c r="W19" i="1" s="1"/>
  <c r="X19" i="1" a="1"/>
  <c r="X19" i="1" s="1"/>
  <c r="Y19" i="1" a="1"/>
  <c r="Y19" i="1" s="1"/>
  <c r="Z19" i="1" a="1"/>
  <c r="Z19" i="1" s="1"/>
  <c r="AA19" i="1" a="1"/>
  <c r="AA19" i="1" s="1"/>
  <c r="AB19" i="1" a="1"/>
  <c r="AB19" i="1" s="1"/>
  <c r="AG19" i="1" a="1"/>
  <c r="AG19" i="1" s="1"/>
  <c r="AH19" i="1" a="1"/>
  <c r="AH19" i="1"/>
  <c r="AJ19" i="1" a="1"/>
  <c r="AJ19" i="1" s="1"/>
  <c r="AK19" i="1" a="1"/>
  <c r="AK19" i="1" s="1"/>
  <c r="AL19" i="1" a="1"/>
  <c r="AL19" i="1"/>
  <c r="AM19" i="1" a="1"/>
  <c r="AM19" i="1" s="1"/>
  <c r="AN19" i="1" a="1"/>
  <c r="AN19" i="1" s="1"/>
  <c r="AO19" i="1" a="1"/>
  <c r="AO19" i="1" s="1"/>
  <c r="C20" i="1" a="1"/>
  <c r="C20" i="1" s="1"/>
  <c r="D20" i="1" a="1"/>
  <c r="D20" i="1" s="1"/>
  <c r="E20" i="1" a="1"/>
  <c r="E20" i="1" s="1"/>
  <c r="F20" i="1" a="1"/>
  <c r="F20" i="1" s="1"/>
  <c r="G20" i="1" a="1"/>
  <c r="G20" i="1" s="1"/>
  <c r="H20" i="1" a="1"/>
  <c r="H20" i="1" s="1"/>
  <c r="I20" i="1" a="1"/>
  <c r="I20" i="1" s="1"/>
  <c r="J20" i="1" a="1"/>
  <c r="J20" i="1" s="1"/>
  <c r="K20" i="1" a="1"/>
  <c r="K20" i="1" s="1"/>
  <c r="L20" i="1" a="1"/>
  <c r="L20" i="1" s="1"/>
  <c r="M20" i="1" a="1"/>
  <c r="M20" i="1" s="1"/>
  <c r="N20" i="1" a="1"/>
  <c r="N20" i="1" s="1"/>
  <c r="O20" i="1" a="1"/>
  <c r="O20" i="1" s="1"/>
  <c r="P20" i="1" a="1"/>
  <c r="P20" i="1" s="1"/>
  <c r="Q20" i="1" a="1"/>
  <c r="Q20" i="1" s="1"/>
  <c r="R20" i="1" a="1"/>
  <c r="R20" i="1" s="1"/>
  <c r="S20" i="1" a="1"/>
  <c r="S20" i="1" s="1"/>
  <c r="T20" i="1" a="1"/>
  <c r="T20" i="1" s="1"/>
  <c r="U20" i="1" a="1"/>
  <c r="U20" i="1" s="1"/>
  <c r="V20" i="1" a="1"/>
  <c r="V20" i="1" s="1"/>
  <c r="W20" i="1" a="1"/>
  <c r="W20" i="1" s="1"/>
  <c r="X20" i="1" a="1"/>
  <c r="X20" i="1" s="1"/>
  <c r="Y20" i="1" a="1"/>
  <c r="Y20" i="1" s="1"/>
  <c r="Z20" i="1" a="1"/>
  <c r="Z20" i="1" s="1"/>
  <c r="AA20" i="1" a="1"/>
  <c r="AA20" i="1" s="1"/>
  <c r="AB20" i="1" a="1"/>
  <c r="AB20" i="1" s="1"/>
  <c r="AG20" i="1" a="1"/>
  <c r="AG20" i="1"/>
  <c r="AH20" i="1" a="1"/>
  <c r="AH20" i="1" s="1"/>
  <c r="AJ20" i="1" a="1"/>
  <c r="AJ20" i="1" s="1"/>
  <c r="AK20" i="1" a="1"/>
  <c r="AK20" i="1"/>
  <c r="AL20" i="1" a="1"/>
  <c r="AL20" i="1" s="1"/>
  <c r="AM20" i="1" a="1"/>
  <c r="AM20" i="1" s="1"/>
  <c r="AN20" i="1" a="1"/>
  <c r="AN20" i="1" s="1"/>
  <c r="AO20" i="1" a="1"/>
  <c r="AO20" i="1" s="1"/>
  <c r="C21" i="1" a="1"/>
  <c r="C21" i="1"/>
  <c r="D21" i="1" a="1"/>
  <c r="D21" i="1" s="1"/>
  <c r="E21" i="1" a="1"/>
  <c r="E21" i="1" s="1"/>
  <c r="F21" i="1" a="1"/>
  <c r="F21" i="1" s="1"/>
  <c r="G21" i="1" a="1"/>
  <c r="G21" i="1" s="1"/>
  <c r="H21" i="1" a="1"/>
  <c r="H21" i="1" s="1"/>
  <c r="I21" i="1" a="1"/>
  <c r="I21" i="1"/>
  <c r="J21" i="1" a="1"/>
  <c r="J21" i="1" s="1"/>
  <c r="K21" i="1" a="1"/>
  <c r="K21" i="1" s="1"/>
  <c r="L21" i="1" a="1"/>
  <c r="L21" i="1"/>
  <c r="M21" i="1" a="1"/>
  <c r="M21" i="1" s="1"/>
  <c r="N21" i="1" a="1"/>
  <c r="N21" i="1" s="1"/>
  <c r="O21" i="1" a="1"/>
  <c r="O21" i="1" s="1"/>
  <c r="P21" i="1" a="1"/>
  <c r="P21" i="1" s="1"/>
  <c r="Q21" i="1" a="1"/>
  <c r="Q21" i="1" s="1"/>
  <c r="R21" i="1" a="1"/>
  <c r="R21" i="1" s="1"/>
  <c r="S21" i="1" a="1"/>
  <c r="S21" i="1" s="1"/>
  <c r="T21" i="1" a="1"/>
  <c r="T21" i="1" s="1"/>
  <c r="U21" i="1" a="1"/>
  <c r="U21" i="1"/>
  <c r="V21" i="1" a="1"/>
  <c r="V21" i="1" s="1"/>
  <c r="W21" i="1" a="1"/>
  <c r="W21" i="1" s="1"/>
  <c r="X21" i="1" a="1"/>
  <c r="X21" i="1" s="1"/>
  <c r="Y21" i="1" a="1"/>
  <c r="Y21" i="1"/>
  <c r="Z21" i="1" a="1"/>
  <c r="Z21" i="1" s="1"/>
  <c r="AA21" i="1" a="1"/>
  <c r="AA21" i="1" s="1"/>
  <c r="AB21" i="1" a="1"/>
  <c r="AB21" i="1" s="1"/>
  <c r="AG21" i="1" a="1"/>
  <c r="AG21" i="1" s="1"/>
  <c r="AH21" i="1" a="1"/>
  <c r="AH21" i="1"/>
  <c r="AJ21" i="1" a="1"/>
  <c r="AJ21" i="1" s="1"/>
  <c r="AK21" i="1" a="1"/>
  <c r="AK21" i="1"/>
  <c r="AL21" i="1" a="1"/>
  <c r="AL21" i="1" s="1"/>
  <c r="AM21" i="1" a="1"/>
  <c r="AM21" i="1" s="1"/>
  <c r="AN21" i="1" a="1"/>
  <c r="AN21" i="1" s="1"/>
  <c r="AO21" i="1" a="1"/>
  <c r="AO21" i="1" s="1"/>
  <c r="C22" i="1" a="1"/>
  <c r="C22" i="1" s="1"/>
  <c r="D22" i="1" a="1"/>
  <c r="D22" i="1" s="1"/>
  <c r="E22" i="1" a="1"/>
  <c r="E22" i="1" s="1"/>
  <c r="F22" i="1" a="1"/>
  <c r="F22" i="1" s="1"/>
  <c r="G22" i="1" a="1"/>
  <c r="G22" i="1" s="1"/>
  <c r="H22" i="1" a="1"/>
  <c r="H22" i="1" s="1"/>
  <c r="I22" i="1" a="1"/>
  <c r="I22" i="1" s="1"/>
  <c r="J22" i="1" a="1"/>
  <c r="J22" i="1" s="1"/>
  <c r="K22" i="1" a="1"/>
  <c r="K22" i="1" s="1"/>
  <c r="L22" i="1" a="1"/>
  <c r="L22" i="1" s="1"/>
  <c r="M22" i="1" a="1"/>
  <c r="M22" i="1" s="1"/>
  <c r="N22" i="1" a="1"/>
  <c r="N22" i="1" s="1"/>
  <c r="O22" i="1" a="1"/>
  <c r="O22" i="1" s="1"/>
  <c r="P22" i="1" a="1"/>
  <c r="P22" i="1" s="1"/>
  <c r="Q22" i="1" a="1"/>
  <c r="Q22" i="1" s="1"/>
  <c r="R22" i="1" a="1"/>
  <c r="R22" i="1" s="1"/>
  <c r="S22" i="1" a="1"/>
  <c r="S22" i="1" s="1"/>
  <c r="T22" i="1" a="1"/>
  <c r="T22" i="1" s="1"/>
  <c r="U22" i="1" a="1"/>
  <c r="U22" i="1" s="1"/>
  <c r="V22" i="1" a="1"/>
  <c r="V22" i="1" s="1"/>
  <c r="W22" i="1" a="1"/>
  <c r="W22" i="1" s="1"/>
  <c r="X22" i="1" a="1"/>
  <c r="X22" i="1" s="1"/>
  <c r="Y22" i="1" a="1"/>
  <c r="Y22" i="1" s="1"/>
  <c r="Z22" i="1" a="1"/>
  <c r="Z22" i="1" s="1"/>
  <c r="AA22" i="1" a="1"/>
  <c r="AA22" i="1" s="1"/>
  <c r="AB22" i="1" a="1"/>
  <c r="AB22" i="1" s="1"/>
  <c r="AG22" i="1" a="1"/>
  <c r="AG22" i="1" s="1"/>
  <c r="AH22" i="1" a="1"/>
  <c r="AH22" i="1" s="1"/>
  <c r="AJ22" i="1" a="1"/>
  <c r="AJ22" i="1" s="1"/>
  <c r="AK22" i="1" a="1"/>
  <c r="AK22" i="1" s="1"/>
  <c r="AL22" i="1" a="1"/>
  <c r="AL22" i="1" s="1"/>
  <c r="AM22" i="1" a="1"/>
  <c r="AM22" i="1" s="1"/>
  <c r="AN22" i="1" a="1"/>
  <c r="AN22" i="1" s="1"/>
  <c r="AO22" i="1" a="1"/>
  <c r="AO22" i="1" s="1"/>
  <c r="C23" i="1" a="1"/>
  <c r="C23" i="1" s="1"/>
  <c r="D23" i="1" a="1"/>
  <c r="D23" i="1" s="1"/>
  <c r="E23" i="1" a="1"/>
  <c r="E23" i="1" s="1"/>
  <c r="F23" i="1" a="1"/>
  <c r="F23" i="1" s="1"/>
  <c r="G23" i="1" a="1"/>
  <c r="G23" i="1" s="1"/>
  <c r="H23" i="1" a="1"/>
  <c r="H23" i="1" s="1"/>
  <c r="I23" i="1" a="1"/>
  <c r="I23" i="1" s="1"/>
  <c r="J23" i="1" a="1"/>
  <c r="J23" i="1" s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P23" i="1" a="1"/>
  <c r="P23" i="1" s="1"/>
  <c r="Q23" i="1" a="1"/>
  <c r="Q23" i="1" s="1"/>
  <c r="R23" i="1" a="1"/>
  <c r="R23" i="1" s="1"/>
  <c r="S23" i="1" a="1"/>
  <c r="S23" i="1" s="1"/>
  <c r="T23" i="1" a="1"/>
  <c r="T23" i="1" s="1"/>
  <c r="U23" i="1" a="1"/>
  <c r="U23" i="1" s="1"/>
  <c r="V23" i="1" a="1"/>
  <c r="V23" i="1" s="1"/>
  <c r="W23" i="1" a="1"/>
  <c r="W23" i="1" s="1"/>
  <c r="X23" i="1" a="1"/>
  <c r="X23" i="1" s="1"/>
  <c r="Y23" i="1" a="1"/>
  <c r="Y23" i="1"/>
  <c r="Z23" i="1" a="1"/>
  <c r="Z23" i="1" s="1"/>
  <c r="AA23" i="1" a="1"/>
  <c r="AA23" i="1" s="1"/>
  <c r="AB23" i="1" a="1"/>
  <c r="AB23" i="1" s="1"/>
  <c r="AG23" i="1" a="1"/>
  <c r="AG23" i="1"/>
  <c r="AH23" i="1" a="1"/>
  <c r="AH23" i="1"/>
  <c r="AJ23" i="1" a="1"/>
  <c r="AJ23" i="1" s="1"/>
  <c r="AK23" i="1" a="1"/>
  <c r="AK23" i="1"/>
  <c r="AL23" i="1" a="1"/>
  <c r="AL23" i="1"/>
  <c r="AM23" i="1" a="1"/>
  <c r="AM23" i="1" s="1"/>
  <c r="AN23" i="1" a="1"/>
  <c r="AN23" i="1" s="1"/>
  <c r="AO23" i="1" a="1"/>
  <c r="AO23" i="1" s="1"/>
  <c r="C24" i="1" a="1"/>
  <c r="C24" i="1" s="1"/>
  <c r="D24" i="1" a="1"/>
  <c r="D24" i="1" s="1"/>
  <c r="E24" i="1" a="1"/>
  <c r="E24" i="1" s="1"/>
  <c r="F24" i="1" a="1"/>
  <c r="F24" i="1" s="1"/>
  <c r="G24" i="1" a="1"/>
  <c r="G24" i="1" s="1"/>
  <c r="H24" i="1" a="1"/>
  <c r="H24" i="1" s="1"/>
  <c r="I24" i="1" a="1"/>
  <c r="I24" i="1" s="1"/>
  <c r="J24" i="1" a="1"/>
  <c r="J24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P24" i="1" a="1"/>
  <c r="P24" i="1" s="1"/>
  <c r="Q24" i="1" a="1"/>
  <c r="Q24" i="1"/>
  <c r="R24" i="1" a="1"/>
  <c r="R24" i="1" s="1"/>
  <c r="S24" i="1" a="1"/>
  <c r="S24" i="1" s="1"/>
  <c r="T24" i="1" a="1"/>
  <c r="T24" i="1"/>
  <c r="U24" i="1" a="1"/>
  <c r="U24" i="1"/>
  <c r="V24" i="1" a="1"/>
  <c r="V24" i="1" s="1"/>
  <c r="W24" i="1" a="1"/>
  <c r="W24" i="1" s="1"/>
  <c r="X24" i="1" a="1"/>
  <c r="X24" i="1"/>
  <c r="Y24" i="1" a="1"/>
  <c r="Y24" i="1"/>
  <c r="Z24" i="1" a="1"/>
  <c r="Z24" i="1"/>
  <c r="AA24" i="1" a="1"/>
  <c r="AA24" i="1" s="1"/>
  <c r="AB24" i="1" a="1"/>
  <c r="AB24" i="1" s="1"/>
  <c r="AG24" i="1" a="1"/>
  <c r="AG24" i="1"/>
  <c r="AH24" i="1" a="1"/>
  <c r="AH24" i="1" s="1"/>
  <c r="AJ24" i="1" a="1"/>
  <c r="AJ24" i="1" s="1"/>
  <c r="AK24" i="1" a="1"/>
  <c r="AK24" i="1" s="1"/>
  <c r="AL24" i="1" a="1"/>
  <c r="AL24" i="1" s="1"/>
  <c r="AM24" i="1" a="1"/>
  <c r="AM24" i="1" s="1"/>
  <c r="AN24" i="1" a="1"/>
  <c r="AN24" i="1" s="1"/>
  <c r="AO24" i="1" a="1"/>
  <c r="AO24" i="1" s="1"/>
  <c r="C25" i="1" a="1"/>
  <c r="C25" i="1" s="1"/>
  <c r="D25" i="1" a="1"/>
  <c r="D25" i="1" s="1"/>
  <c r="E25" i="1" a="1"/>
  <c r="E25" i="1" s="1"/>
  <c r="F25" i="1" a="1"/>
  <c r="F25" i="1" s="1"/>
  <c r="G25" i="1" a="1"/>
  <c r="G25" i="1" s="1"/>
  <c r="H25" i="1" a="1"/>
  <c r="H25" i="1" s="1"/>
  <c r="I25" i="1" a="1"/>
  <c r="I25" i="1" s="1"/>
  <c r="J25" i="1" a="1"/>
  <c r="J25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P25" i="1" a="1"/>
  <c r="P25" i="1" s="1"/>
  <c r="Q25" i="1" a="1"/>
  <c r="Q25" i="1" s="1"/>
  <c r="R25" i="1" a="1"/>
  <c r="R25" i="1" s="1"/>
  <c r="S25" i="1" a="1"/>
  <c r="S25" i="1" s="1"/>
  <c r="T25" i="1" a="1"/>
  <c r="T25" i="1" s="1"/>
  <c r="U25" i="1" a="1"/>
  <c r="U25" i="1" s="1"/>
  <c r="V25" i="1" a="1"/>
  <c r="V25" i="1" s="1"/>
  <c r="W25" i="1" a="1"/>
  <c r="W25" i="1" s="1"/>
  <c r="X25" i="1" a="1"/>
  <c r="X25" i="1" s="1"/>
  <c r="Y25" i="1" a="1"/>
  <c r="Y25" i="1" s="1"/>
  <c r="Z25" i="1" a="1"/>
  <c r="Z25" i="1" s="1"/>
  <c r="AA25" i="1" a="1"/>
  <c r="AA25" i="1" s="1"/>
  <c r="AB25" i="1" a="1"/>
  <c r="AB25" i="1" s="1"/>
  <c r="AG25" i="1" a="1"/>
  <c r="AG25" i="1" s="1"/>
  <c r="AH25" i="1" a="1"/>
  <c r="AH25" i="1" s="1"/>
  <c r="AJ25" i="1" a="1"/>
  <c r="AJ25" i="1" s="1"/>
  <c r="AK25" i="1" a="1"/>
  <c r="AK25" i="1" s="1"/>
  <c r="AL25" i="1" a="1"/>
  <c r="AL25" i="1" s="1"/>
  <c r="AM25" i="1" a="1"/>
  <c r="AM25" i="1" s="1"/>
  <c r="AN25" i="1" a="1"/>
  <c r="AN25" i="1" s="1"/>
  <c r="AO25" i="1" a="1"/>
  <c r="AO25" i="1" s="1"/>
  <c r="C26" i="1" a="1"/>
  <c r="C26" i="1" s="1"/>
  <c r="D26" i="1" a="1"/>
  <c r="D26" i="1" s="1"/>
  <c r="E26" i="1" a="1"/>
  <c r="E26" i="1" s="1"/>
  <c r="F26" i="1" a="1"/>
  <c r="F26" i="1" s="1"/>
  <c r="G26" i="1" a="1"/>
  <c r="G26" i="1" s="1"/>
  <c r="H26" i="1" a="1"/>
  <c r="H26" i="1" s="1"/>
  <c r="I26" i="1" a="1"/>
  <c r="I26" i="1" s="1"/>
  <c r="J26" i="1" a="1"/>
  <c r="J26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P26" i="1" a="1"/>
  <c r="P26" i="1" s="1"/>
  <c r="Q26" i="1" a="1"/>
  <c r="Q26" i="1" s="1"/>
  <c r="R26" i="1" a="1"/>
  <c r="R26" i="1" s="1"/>
  <c r="S26" i="1" a="1"/>
  <c r="S26" i="1" s="1"/>
  <c r="T26" i="1" a="1"/>
  <c r="T26" i="1" s="1"/>
  <c r="U26" i="1" a="1"/>
  <c r="U26" i="1" s="1"/>
  <c r="V26" i="1" a="1"/>
  <c r="V26" i="1" s="1"/>
  <c r="W26" i="1" a="1"/>
  <c r="W26" i="1" s="1"/>
  <c r="X26" i="1" a="1"/>
  <c r="X26" i="1" s="1"/>
  <c r="Y26" i="1" a="1"/>
  <c r="Y26" i="1" s="1"/>
  <c r="Z26" i="1" a="1"/>
  <c r="Z26" i="1" s="1"/>
  <c r="AA26" i="1" a="1"/>
  <c r="AA26" i="1" s="1"/>
  <c r="AB26" i="1" a="1"/>
  <c r="AB26" i="1" s="1"/>
  <c r="AG26" i="1" a="1"/>
  <c r="AG26" i="1"/>
  <c r="AH26" i="1" a="1"/>
  <c r="AH26" i="1"/>
  <c r="AJ26" i="1" a="1"/>
  <c r="AJ26" i="1" s="1"/>
  <c r="AK26" i="1" a="1"/>
  <c r="AK26" i="1"/>
  <c r="AL26" i="1" a="1"/>
  <c r="AL26" i="1"/>
  <c r="AM26" i="1" a="1"/>
  <c r="AM26" i="1" s="1"/>
  <c r="AN26" i="1" a="1"/>
  <c r="AN26" i="1" s="1"/>
  <c r="AO26" i="1" a="1"/>
  <c r="AO26" i="1" s="1"/>
  <c r="C27" i="1" a="1"/>
  <c r="C27" i="1" s="1"/>
  <c r="D27" i="1" a="1"/>
  <c r="D27" i="1" s="1"/>
  <c r="E27" i="1" a="1"/>
  <c r="E27" i="1" s="1"/>
  <c r="F27" i="1" a="1"/>
  <c r="F27" i="1" s="1"/>
  <c r="G27" i="1" a="1"/>
  <c r="G27" i="1" s="1"/>
  <c r="H27" i="1" a="1"/>
  <c r="H27" i="1" s="1"/>
  <c r="I27" i="1" a="1"/>
  <c r="I27" i="1" s="1"/>
  <c r="J27" i="1" a="1"/>
  <c r="J27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R27" i="1" a="1"/>
  <c r="R27" i="1" s="1"/>
  <c r="S27" i="1" a="1"/>
  <c r="S27" i="1" s="1"/>
  <c r="T27" i="1" a="1"/>
  <c r="T27" i="1" s="1"/>
  <c r="U27" i="1" a="1"/>
  <c r="U27" i="1" s="1"/>
  <c r="V27" i="1" a="1"/>
  <c r="V27" i="1" s="1"/>
  <c r="W27" i="1" a="1"/>
  <c r="W27" i="1" s="1"/>
  <c r="X27" i="1" a="1"/>
  <c r="X27" i="1" s="1"/>
  <c r="Y27" i="1" a="1"/>
  <c r="Y27" i="1" s="1"/>
  <c r="Z27" i="1" a="1"/>
  <c r="Z27" i="1" s="1"/>
  <c r="AA27" i="1" a="1"/>
  <c r="AA27" i="1" s="1"/>
  <c r="AB27" i="1" a="1"/>
  <c r="AB27" i="1" s="1"/>
  <c r="AG27" i="1" a="1"/>
  <c r="AG27" i="1" s="1"/>
  <c r="AH27" i="1" a="1"/>
  <c r="AH27" i="1" s="1"/>
  <c r="AJ27" i="1" a="1"/>
  <c r="AJ27" i="1" s="1"/>
  <c r="AK27" i="1" a="1"/>
  <c r="AK27" i="1"/>
  <c r="AL27" i="1" a="1"/>
  <c r="AL27" i="1" s="1"/>
  <c r="AM27" i="1" a="1"/>
  <c r="AM27" i="1" s="1"/>
  <c r="AN27" i="1" a="1"/>
  <c r="AN27" i="1" s="1"/>
  <c r="AO27" i="1" a="1"/>
  <c r="AO27" i="1" s="1"/>
  <c r="C28" i="1" a="1"/>
  <c r="C28" i="1" s="1"/>
  <c r="D28" i="1" a="1"/>
  <c r="D28" i="1"/>
  <c r="E28" i="1" a="1"/>
  <c r="E28" i="1" s="1"/>
  <c r="F28" i="1" a="1"/>
  <c r="F28" i="1" s="1"/>
  <c r="G28" i="1" a="1"/>
  <c r="G28" i="1" s="1"/>
  <c r="H28" i="1" a="1"/>
  <c r="H28" i="1" s="1"/>
  <c r="I28" i="1" a="1"/>
  <c r="I28" i="1" s="1"/>
  <c r="J28" i="1" a="1"/>
  <c r="J28" i="1" s="1"/>
  <c r="K28" i="1" a="1"/>
  <c r="K28" i="1" s="1"/>
  <c r="L28" i="1" a="1"/>
  <c r="L28" i="1" s="1"/>
  <c r="M28" i="1" a="1"/>
  <c r="M28" i="1" s="1"/>
  <c r="N28" i="1" a="1"/>
  <c r="N28" i="1" s="1"/>
  <c r="O28" i="1" a="1"/>
  <c r="O28" i="1" s="1"/>
  <c r="P28" i="1" a="1"/>
  <c r="P28" i="1" s="1"/>
  <c r="Q28" i="1" a="1"/>
  <c r="Q28" i="1" s="1"/>
  <c r="R28" i="1" a="1"/>
  <c r="R28" i="1" s="1"/>
  <c r="S28" i="1" a="1"/>
  <c r="S28" i="1" s="1"/>
  <c r="T28" i="1" a="1"/>
  <c r="T28" i="1" s="1"/>
  <c r="U28" i="1" a="1"/>
  <c r="U28" i="1" s="1"/>
  <c r="V28" i="1" a="1"/>
  <c r="V28" i="1" s="1"/>
  <c r="W28" i="1" a="1"/>
  <c r="W28" i="1" s="1"/>
  <c r="X28" i="1" a="1"/>
  <c r="X28" i="1" s="1"/>
  <c r="Y28" i="1" a="1"/>
  <c r="Y28" i="1" s="1"/>
  <c r="Z28" i="1" a="1"/>
  <c r="Z28" i="1" s="1"/>
  <c r="AA28" i="1" a="1"/>
  <c r="AA28" i="1" s="1"/>
  <c r="AB28" i="1" a="1"/>
  <c r="AB28" i="1" s="1"/>
  <c r="AG28" i="1" a="1"/>
  <c r="AG28" i="1" s="1"/>
  <c r="AH28" i="1" a="1"/>
  <c r="AH28" i="1"/>
  <c r="AJ28" i="1" a="1"/>
  <c r="AJ28" i="1" s="1"/>
  <c r="AK28" i="1" a="1"/>
  <c r="AK28" i="1" s="1"/>
  <c r="AL28" i="1" a="1"/>
  <c r="AL28" i="1"/>
  <c r="AM28" i="1" a="1"/>
  <c r="AM28" i="1" s="1"/>
  <c r="AN28" i="1" a="1"/>
  <c r="AN28" i="1" s="1"/>
  <c r="AO28" i="1" a="1"/>
  <c r="AO28" i="1" s="1"/>
  <c r="C29" i="1" a="1"/>
  <c r="C29" i="1" s="1"/>
  <c r="D29" i="1" a="1"/>
  <c r="D29" i="1" s="1"/>
  <c r="E29" i="1" a="1"/>
  <c r="E29" i="1" s="1"/>
  <c r="F29" i="1" a="1"/>
  <c r="F29" i="1" s="1"/>
  <c r="G29" i="1" a="1"/>
  <c r="G29" i="1" s="1"/>
  <c r="H29" i="1" a="1"/>
  <c r="H29" i="1" s="1"/>
  <c r="I29" i="1" a="1"/>
  <c r="I29" i="1" s="1"/>
  <c r="J29" i="1" a="1"/>
  <c r="J29" i="1" s="1"/>
  <c r="K29" i="1" a="1"/>
  <c r="K29" i="1" s="1"/>
  <c r="L29" i="1" a="1"/>
  <c r="L29" i="1" s="1"/>
  <c r="M29" i="1" a="1"/>
  <c r="M29" i="1" s="1"/>
  <c r="N29" i="1" a="1"/>
  <c r="N29" i="1" s="1"/>
  <c r="O29" i="1" a="1"/>
  <c r="O29" i="1" s="1"/>
  <c r="P29" i="1" a="1"/>
  <c r="P29" i="1" s="1"/>
  <c r="Q29" i="1" a="1"/>
  <c r="Q29" i="1" s="1"/>
  <c r="R29" i="1" a="1"/>
  <c r="R29" i="1" s="1"/>
  <c r="S29" i="1" a="1"/>
  <c r="S29" i="1" s="1"/>
  <c r="T29" i="1" a="1"/>
  <c r="T29" i="1" s="1"/>
  <c r="U29" i="1" a="1"/>
  <c r="U29" i="1" s="1"/>
  <c r="V29" i="1" a="1"/>
  <c r="V29" i="1" s="1"/>
  <c r="W29" i="1" a="1"/>
  <c r="W29" i="1" s="1"/>
  <c r="X29" i="1" a="1"/>
  <c r="X29" i="1" s="1"/>
  <c r="Y29" i="1" a="1"/>
  <c r="Y29" i="1" s="1"/>
  <c r="Z29" i="1" a="1"/>
  <c r="Z29" i="1" s="1"/>
  <c r="AA29" i="1" a="1"/>
  <c r="AA29" i="1" s="1"/>
  <c r="AB29" i="1" a="1"/>
  <c r="AB29" i="1" s="1"/>
  <c r="AG29" i="1" a="1"/>
  <c r="AG29" i="1" s="1"/>
  <c r="AH29" i="1" a="1"/>
  <c r="AH29" i="1"/>
  <c r="AJ29" i="1" a="1"/>
  <c r="AJ29" i="1" s="1"/>
  <c r="AK29" i="1" a="1"/>
  <c r="AK29" i="1" s="1"/>
  <c r="AL29" i="1" a="1"/>
  <c r="AL29" i="1" s="1"/>
  <c r="AM29" i="1" a="1"/>
  <c r="AM29" i="1" s="1"/>
  <c r="AN29" i="1" a="1"/>
  <c r="AN29" i="1" s="1"/>
  <c r="AO29" i="1" a="1"/>
  <c r="AO29" i="1" s="1"/>
  <c r="C30" i="1" a="1"/>
  <c r="C30" i="1" s="1"/>
  <c r="D30" i="1" a="1"/>
  <c r="D30" i="1" s="1"/>
  <c r="E30" i="1" a="1"/>
  <c r="E30" i="1"/>
  <c r="F30" i="1" a="1"/>
  <c r="F30" i="1" s="1"/>
  <c r="G30" i="1" a="1"/>
  <c r="G30" i="1" s="1"/>
  <c r="H30" i="1" a="1"/>
  <c r="H30" i="1" s="1"/>
  <c r="I30" i="1" a="1"/>
  <c r="I30" i="1" s="1"/>
  <c r="J30" i="1" a="1"/>
  <c r="J30" i="1" s="1"/>
  <c r="K30" i="1" a="1"/>
  <c r="K30" i="1" s="1"/>
  <c r="L30" i="1" a="1"/>
  <c r="L30" i="1" s="1"/>
  <c r="M30" i="1" a="1"/>
  <c r="M30" i="1" s="1"/>
  <c r="N30" i="1" a="1"/>
  <c r="N30" i="1" s="1"/>
  <c r="O30" i="1" a="1"/>
  <c r="O30" i="1" s="1"/>
  <c r="P30" i="1" a="1"/>
  <c r="P30" i="1" s="1"/>
  <c r="Q30" i="1" a="1"/>
  <c r="Q30" i="1" s="1"/>
  <c r="R30" i="1" a="1"/>
  <c r="R30" i="1" s="1"/>
  <c r="S30" i="1" a="1"/>
  <c r="S30" i="1" s="1"/>
  <c r="T30" i="1" a="1"/>
  <c r="T30" i="1" s="1"/>
  <c r="U30" i="1" a="1"/>
  <c r="U30" i="1" s="1"/>
  <c r="V30" i="1" a="1"/>
  <c r="V30" i="1" s="1"/>
  <c r="W30" i="1" a="1"/>
  <c r="W30" i="1" s="1"/>
  <c r="X30" i="1" a="1"/>
  <c r="X30" i="1" s="1"/>
  <c r="Y30" i="1" a="1"/>
  <c r="Y30" i="1"/>
  <c r="Z30" i="1" a="1"/>
  <c r="Z30" i="1" s="1"/>
  <c r="AA30" i="1" a="1"/>
  <c r="AA30" i="1" s="1"/>
  <c r="AB30" i="1" a="1"/>
  <c r="AB30" i="1" s="1"/>
  <c r="AG30" i="1" a="1"/>
  <c r="AG30" i="1" s="1"/>
  <c r="AH30" i="1" a="1"/>
  <c r="AH30" i="1" s="1"/>
  <c r="AJ30" i="1" a="1"/>
  <c r="AJ30" i="1" s="1"/>
  <c r="AK30" i="1" a="1"/>
  <c r="AK30" i="1" s="1"/>
  <c r="AL30" i="1" a="1"/>
  <c r="AL30" i="1" s="1"/>
  <c r="AM30" i="1" a="1"/>
  <c r="AM30" i="1" s="1"/>
  <c r="AN30" i="1" a="1"/>
  <c r="AN30" i="1" s="1"/>
  <c r="AO30" i="1" a="1"/>
  <c r="AO30" i="1" s="1"/>
  <c r="C31" i="1" a="1"/>
  <c r="C31" i="1" s="1"/>
  <c r="D31" i="1" a="1"/>
  <c r="D31" i="1" s="1"/>
  <c r="E31" i="1" a="1"/>
  <c r="E31" i="1" s="1"/>
  <c r="F31" i="1" a="1"/>
  <c r="F31" i="1" s="1"/>
  <c r="G31" i="1" a="1"/>
  <c r="G31" i="1" s="1"/>
  <c r="H31" i="1" a="1"/>
  <c r="H31" i="1" s="1"/>
  <c r="I31" i="1" a="1"/>
  <c r="I31" i="1" s="1"/>
  <c r="J31" i="1" a="1"/>
  <c r="J31" i="1" s="1"/>
  <c r="K31" i="1" a="1"/>
  <c r="K31" i="1" s="1"/>
  <c r="L31" i="1" a="1"/>
  <c r="L31" i="1" s="1"/>
  <c r="M31" i="1" a="1"/>
  <c r="M31" i="1" s="1"/>
  <c r="N31" i="1" a="1"/>
  <c r="N31" i="1" s="1"/>
  <c r="O31" i="1" a="1"/>
  <c r="O31" i="1" s="1"/>
  <c r="P31" i="1" a="1"/>
  <c r="P31" i="1" s="1"/>
  <c r="Q31" i="1" a="1"/>
  <c r="Q31" i="1" s="1"/>
  <c r="R31" i="1" a="1"/>
  <c r="R31" i="1" s="1"/>
  <c r="S31" i="1" a="1"/>
  <c r="S31" i="1" s="1"/>
  <c r="T31" i="1" a="1"/>
  <c r="T31" i="1" s="1"/>
  <c r="U31" i="1" a="1"/>
  <c r="U31" i="1" s="1"/>
  <c r="V31" i="1" a="1"/>
  <c r="V31" i="1" s="1"/>
  <c r="W31" i="1" a="1"/>
  <c r="W31" i="1" s="1"/>
  <c r="X31" i="1" a="1"/>
  <c r="X31" i="1" s="1"/>
  <c r="Y31" i="1" a="1"/>
  <c r="Y31" i="1"/>
  <c r="Z31" i="1" a="1"/>
  <c r="Z31" i="1" s="1"/>
  <c r="AA31" i="1" a="1"/>
  <c r="AA31" i="1" s="1"/>
  <c r="AB31" i="1" a="1"/>
  <c r="AB31" i="1" s="1"/>
  <c r="AG31" i="1" a="1"/>
  <c r="AG31" i="1"/>
  <c r="AH31" i="1" a="1"/>
  <c r="AH31" i="1"/>
  <c r="AJ31" i="1" a="1"/>
  <c r="AJ31" i="1" s="1"/>
  <c r="AK31" i="1" a="1"/>
  <c r="AK31" i="1"/>
  <c r="AL31" i="1" a="1"/>
  <c r="AL31" i="1" s="1"/>
  <c r="AM31" i="1" a="1"/>
  <c r="AM31" i="1" s="1"/>
  <c r="AN31" i="1" a="1"/>
  <c r="AN31" i="1" s="1"/>
  <c r="AO31" i="1" a="1"/>
  <c r="AO31" i="1" s="1"/>
  <c r="C32" i="1" a="1"/>
  <c r="C32" i="1" s="1"/>
  <c r="D32" i="1" a="1"/>
  <c r="D32" i="1" s="1"/>
  <c r="E32" i="1" a="1"/>
  <c r="E32" i="1" s="1"/>
  <c r="F32" i="1" a="1"/>
  <c r="F32" i="1"/>
  <c r="G32" i="1" a="1"/>
  <c r="G32" i="1" s="1"/>
  <c r="H32" i="1" a="1"/>
  <c r="H32" i="1" s="1"/>
  <c r="I32" i="1" a="1"/>
  <c r="I32" i="1" s="1"/>
  <c r="J32" i="1" a="1"/>
  <c r="J32" i="1" s="1"/>
  <c r="K32" i="1" a="1"/>
  <c r="K32" i="1" s="1"/>
  <c r="L32" i="1" a="1"/>
  <c r="L32" i="1" s="1"/>
  <c r="M32" i="1" a="1"/>
  <c r="M32" i="1" s="1"/>
  <c r="N32" i="1" a="1"/>
  <c r="N32" i="1" s="1"/>
  <c r="O32" i="1" a="1"/>
  <c r="O32" i="1" s="1"/>
  <c r="P32" i="1" a="1"/>
  <c r="P32" i="1" s="1"/>
  <c r="Q32" i="1" a="1"/>
  <c r="Q32" i="1" s="1"/>
  <c r="R32" i="1" a="1"/>
  <c r="R32" i="1" s="1"/>
  <c r="S32" i="1" a="1"/>
  <c r="S32" i="1" s="1"/>
  <c r="T32" i="1" a="1"/>
  <c r="T32" i="1" s="1"/>
  <c r="U32" i="1" a="1"/>
  <c r="U32" i="1" s="1"/>
  <c r="V32" i="1" a="1"/>
  <c r="V32" i="1" s="1"/>
  <c r="W32" i="1" a="1"/>
  <c r="W32" i="1" s="1"/>
  <c r="X32" i="1" a="1"/>
  <c r="X32" i="1" s="1"/>
  <c r="Y32" i="1" a="1"/>
  <c r="Y32" i="1" s="1"/>
  <c r="Z32" i="1" a="1"/>
  <c r="Z32" i="1" s="1"/>
  <c r="AA32" i="1" a="1"/>
  <c r="AA32" i="1" s="1"/>
  <c r="AB32" i="1" a="1"/>
  <c r="AB32" i="1" s="1"/>
  <c r="AG32" i="1" a="1"/>
  <c r="AG32" i="1" s="1"/>
  <c r="AH32" i="1" a="1"/>
  <c r="AH32" i="1" s="1"/>
  <c r="AJ32" i="1" a="1"/>
  <c r="AJ32" i="1" s="1"/>
  <c r="AK32" i="1" a="1"/>
  <c r="AK32" i="1" s="1"/>
  <c r="AL32" i="1" a="1"/>
  <c r="AL32" i="1" s="1"/>
  <c r="AM32" i="1" a="1"/>
  <c r="AM32" i="1" s="1"/>
  <c r="AN32" i="1" a="1"/>
  <c r="AN32" i="1" s="1"/>
  <c r="AO32" i="1" a="1"/>
  <c r="AO32" i="1" s="1"/>
  <c r="C33" i="1" a="1"/>
  <c r="C33" i="1" s="1"/>
  <c r="D33" i="1" a="1"/>
  <c r="D33" i="1"/>
  <c r="E33" i="1" a="1"/>
  <c r="E33" i="1" s="1"/>
  <c r="F33" i="1" a="1"/>
  <c r="F33" i="1" s="1"/>
  <c r="G33" i="1" a="1"/>
  <c r="G33" i="1" s="1"/>
  <c r="H33" i="1" a="1"/>
  <c r="H33" i="1" s="1"/>
  <c r="I33" i="1" a="1"/>
  <c r="I33" i="1" s="1"/>
  <c r="J33" i="1" a="1"/>
  <c r="J33" i="1" s="1"/>
  <c r="K33" i="1" a="1"/>
  <c r="K33" i="1" s="1"/>
  <c r="L33" i="1" a="1"/>
  <c r="L33" i="1" s="1"/>
  <c r="M33" i="1" a="1"/>
  <c r="M33" i="1" s="1"/>
  <c r="N33" i="1" a="1"/>
  <c r="N33" i="1" s="1"/>
  <c r="O33" i="1" a="1"/>
  <c r="O33" i="1" s="1"/>
  <c r="P33" i="1" a="1"/>
  <c r="P33" i="1" s="1"/>
  <c r="Q33" i="1" a="1"/>
  <c r="Q33" i="1" s="1"/>
  <c r="R33" i="1" a="1"/>
  <c r="R33" i="1" s="1"/>
  <c r="S33" i="1" a="1"/>
  <c r="S33" i="1" s="1"/>
  <c r="T33" i="1" a="1"/>
  <c r="T33" i="1" s="1"/>
  <c r="U33" i="1" a="1"/>
  <c r="U33" i="1" s="1"/>
  <c r="V33" i="1" a="1"/>
  <c r="V33" i="1" s="1"/>
  <c r="W33" i="1" a="1"/>
  <c r="W33" i="1" s="1"/>
  <c r="X33" i="1" a="1"/>
  <c r="X33" i="1" s="1"/>
  <c r="Y33" i="1" a="1"/>
  <c r="Y33" i="1"/>
  <c r="Z33" i="1" a="1"/>
  <c r="Z33" i="1" s="1"/>
  <c r="AA33" i="1" a="1"/>
  <c r="AA33" i="1" s="1"/>
  <c r="AB33" i="1" a="1"/>
  <c r="AB33" i="1" s="1"/>
  <c r="AG33" i="1" a="1"/>
  <c r="AG33" i="1" s="1"/>
  <c r="AH33" i="1" a="1"/>
  <c r="AH33" i="1" s="1"/>
  <c r="AJ33" i="1" a="1"/>
  <c r="AJ33" i="1" s="1"/>
  <c r="AK33" i="1" a="1"/>
  <c r="AK33" i="1" s="1"/>
  <c r="AL33" i="1" a="1"/>
  <c r="AL33" i="1" s="1"/>
  <c r="AM33" i="1" a="1"/>
  <c r="AM33" i="1" s="1"/>
  <c r="AN33" i="1" a="1"/>
  <c r="AN33" i="1" s="1"/>
  <c r="AO33" i="1" a="1"/>
  <c r="AO33" i="1" s="1"/>
  <c r="C34" i="1" a="1"/>
  <c r="C34" i="1" s="1"/>
  <c r="D34" i="1" a="1"/>
  <c r="D34" i="1" s="1"/>
  <c r="E34" i="1" a="1"/>
  <c r="E34" i="1" s="1"/>
  <c r="F34" i="1" a="1"/>
  <c r="F34" i="1" s="1"/>
  <c r="G34" i="1" a="1"/>
  <c r="G34" i="1" s="1"/>
  <c r="H34" i="1" a="1"/>
  <c r="H34" i="1"/>
  <c r="I34" i="1" a="1"/>
  <c r="I34" i="1" s="1"/>
  <c r="J34" i="1" a="1"/>
  <c r="J34" i="1" s="1"/>
  <c r="K34" i="1" a="1"/>
  <c r="K34" i="1" s="1"/>
  <c r="L34" i="1" a="1"/>
  <c r="L34" i="1"/>
  <c r="M34" i="1" a="1"/>
  <c r="M34" i="1" s="1"/>
  <c r="N34" i="1" a="1"/>
  <c r="N34" i="1" s="1"/>
  <c r="O34" i="1" a="1"/>
  <c r="O34" i="1"/>
  <c r="P34" i="1" a="1"/>
  <c r="P34" i="1" s="1"/>
  <c r="Q34" i="1" a="1"/>
  <c r="Q34" i="1" s="1"/>
  <c r="R34" i="1" a="1"/>
  <c r="R34" i="1" s="1"/>
  <c r="S34" i="1" a="1"/>
  <c r="S34" i="1"/>
  <c r="T34" i="1" a="1"/>
  <c r="T34" i="1"/>
  <c r="U34" i="1" a="1"/>
  <c r="U34" i="1" s="1"/>
  <c r="V34" i="1" a="1"/>
  <c r="V34" i="1" s="1"/>
  <c r="W34" i="1" a="1"/>
  <c r="W34" i="1" s="1"/>
  <c r="X34" i="1" a="1"/>
  <c r="X34" i="1" s="1"/>
  <c r="Y34" i="1" a="1"/>
  <c r="Y34" i="1" s="1"/>
  <c r="Z34" i="1" a="1"/>
  <c r="Z34" i="1" s="1"/>
  <c r="AA34" i="1" a="1"/>
  <c r="AA34" i="1" s="1"/>
  <c r="AB34" i="1" a="1"/>
  <c r="AB34" i="1" s="1"/>
  <c r="AG34" i="1" a="1"/>
  <c r="AG34" i="1"/>
  <c r="AH34" i="1" a="1"/>
  <c r="AH34" i="1" s="1"/>
  <c r="AJ34" i="1" a="1"/>
  <c r="AJ34" i="1" s="1"/>
  <c r="AK34" i="1" a="1"/>
  <c r="AK34" i="1" s="1"/>
  <c r="AL34" i="1" a="1"/>
  <c r="AL34" i="1"/>
  <c r="AM34" i="1" a="1"/>
  <c r="AM34" i="1" s="1"/>
  <c r="AN34" i="1" a="1"/>
  <c r="AN34" i="1" s="1"/>
  <c r="AO34" i="1" a="1"/>
  <c r="AO34" i="1" s="1"/>
  <c r="C35" i="1" a="1"/>
  <c r="C35" i="1" s="1"/>
  <c r="D35" i="1" a="1"/>
  <c r="D35" i="1" s="1"/>
  <c r="E35" i="1" a="1"/>
  <c r="E35" i="1" s="1"/>
  <c r="F35" i="1" a="1"/>
  <c r="F35" i="1" s="1"/>
  <c r="G35" i="1" a="1"/>
  <c r="G35" i="1" s="1"/>
  <c r="H35" i="1" a="1"/>
  <c r="H35" i="1" s="1"/>
  <c r="I35" i="1" a="1"/>
  <c r="I35" i="1" s="1"/>
  <c r="J35" i="1" a="1"/>
  <c r="J35" i="1" s="1"/>
  <c r="K35" i="1" a="1"/>
  <c r="K35" i="1" s="1"/>
  <c r="L35" i="1" a="1"/>
  <c r="L35" i="1"/>
  <c r="M35" i="1" a="1"/>
  <c r="M35" i="1" s="1"/>
  <c r="N35" i="1" a="1"/>
  <c r="N35" i="1"/>
  <c r="O35" i="1" a="1"/>
  <c r="O35" i="1"/>
  <c r="P35" i="1" a="1"/>
  <c r="P35" i="1" s="1"/>
  <c r="Q35" i="1" a="1"/>
  <c r="Q35" i="1" s="1"/>
  <c r="R35" i="1" a="1"/>
  <c r="R35" i="1" s="1"/>
  <c r="S35" i="1" a="1"/>
  <c r="S35" i="1" s="1"/>
  <c r="T35" i="1" a="1"/>
  <c r="T35" i="1" s="1"/>
  <c r="U35" i="1" a="1"/>
  <c r="U35" i="1" s="1"/>
  <c r="V35" i="1" a="1"/>
  <c r="V35" i="1" s="1"/>
  <c r="W35" i="1" a="1"/>
  <c r="W35" i="1"/>
  <c r="X35" i="1" a="1"/>
  <c r="X35" i="1" s="1"/>
  <c r="Y35" i="1" a="1"/>
  <c r="Y35" i="1" s="1"/>
  <c r="Z35" i="1" a="1"/>
  <c r="Z35" i="1" s="1"/>
  <c r="AA35" i="1" a="1"/>
  <c r="AA35" i="1" s="1"/>
  <c r="AB35" i="1" a="1"/>
  <c r="AB35" i="1" s="1"/>
  <c r="AG35" i="1" a="1"/>
  <c r="AG35" i="1"/>
  <c r="AH35" i="1" a="1"/>
  <c r="AH35" i="1"/>
  <c r="AJ35" i="1" a="1"/>
  <c r="AJ35" i="1" s="1"/>
  <c r="AK35" i="1" a="1"/>
  <c r="AK35" i="1" s="1"/>
  <c r="AL35" i="1" a="1"/>
  <c r="AL35" i="1" s="1"/>
  <c r="AM35" i="1" a="1"/>
  <c r="AM35" i="1" s="1"/>
  <c r="AN35" i="1" a="1"/>
  <c r="AN35" i="1" s="1"/>
  <c r="AO35" i="1" a="1"/>
  <c r="AO35" i="1" s="1"/>
  <c r="C36" i="1" a="1"/>
  <c r="C36" i="1" s="1"/>
  <c r="D36" i="1" a="1"/>
  <c r="D36" i="1" s="1"/>
  <c r="E36" i="1" a="1"/>
  <c r="E36" i="1" s="1"/>
  <c r="F36" i="1" a="1"/>
  <c r="F36" i="1" s="1"/>
  <c r="G36" i="1" a="1"/>
  <c r="G36" i="1" s="1"/>
  <c r="H36" i="1" a="1"/>
  <c r="H36" i="1" s="1"/>
  <c r="I36" i="1" a="1"/>
  <c r="I36" i="1" s="1"/>
  <c r="J36" i="1" a="1"/>
  <c r="J36" i="1" s="1"/>
  <c r="K36" i="1" a="1"/>
  <c r="K36" i="1" s="1"/>
  <c r="L36" i="1" a="1"/>
  <c r="L36" i="1" s="1"/>
  <c r="M36" i="1" a="1"/>
  <c r="M36" i="1" s="1"/>
  <c r="N36" i="1" a="1"/>
  <c r="N36" i="1" s="1"/>
  <c r="O36" i="1" a="1"/>
  <c r="O36" i="1" s="1"/>
  <c r="P36" i="1" a="1"/>
  <c r="P36" i="1" s="1"/>
  <c r="Q36" i="1" a="1"/>
  <c r="Q36" i="1" s="1"/>
  <c r="R36" i="1" a="1"/>
  <c r="R36" i="1" s="1"/>
  <c r="S36" i="1" a="1"/>
  <c r="S36" i="1" s="1"/>
  <c r="T36" i="1" a="1"/>
  <c r="T36" i="1" s="1"/>
  <c r="U36" i="1" a="1"/>
  <c r="U36" i="1" s="1"/>
  <c r="V36" i="1" a="1"/>
  <c r="V36" i="1" s="1"/>
  <c r="W36" i="1" a="1"/>
  <c r="W36" i="1" s="1"/>
  <c r="X36" i="1" a="1"/>
  <c r="X36" i="1" s="1"/>
  <c r="Y36" i="1" a="1"/>
  <c r="Y36" i="1"/>
  <c r="Z36" i="1" a="1"/>
  <c r="Z36" i="1"/>
  <c r="AA36" i="1" a="1"/>
  <c r="AA36" i="1" s="1"/>
  <c r="AB36" i="1" a="1"/>
  <c r="AB36" i="1" s="1"/>
  <c r="AG36" i="1" a="1"/>
  <c r="AG36" i="1" s="1"/>
  <c r="AH36" i="1" a="1"/>
  <c r="AH36" i="1" s="1"/>
  <c r="AJ36" i="1" a="1"/>
  <c r="AJ36" i="1" s="1"/>
  <c r="AK36" i="1" a="1"/>
  <c r="AK36" i="1" s="1"/>
  <c r="AL36" i="1" a="1"/>
  <c r="AL36" i="1" s="1"/>
  <c r="AM36" i="1" a="1"/>
  <c r="AM36" i="1" s="1"/>
  <c r="AN36" i="1" a="1"/>
  <c r="AN36" i="1" s="1"/>
  <c r="AO36" i="1" a="1"/>
  <c r="AO36" i="1" s="1"/>
  <c r="C37" i="1" a="1"/>
  <c r="C37" i="1" s="1"/>
  <c r="D37" i="1" a="1"/>
  <c r="D37" i="1" s="1"/>
  <c r="E37" i="1" a="1"/>
  <c r="E37" i="1" s="1"/>
  <c r="F37" i="1" a="1"/>
  <c r="F37" i="1" s="1"/>
  <c r="G37" i="1" a="1"/>
  <c r="G37" i="1" s="1"/>
  <c r="H37" i="1" a="1"/>
  <c r="H37" i="1" s="1"/>
  <c r="I37" i="1" a="1"/>
  <c r="I37" i="1" s="1"/>
  <c r="J37" i="1" a="1"/>
  <c r="J37" i="1" s="1"/>
  <c r="K37" i="1" a="1"/>
  <c r="K37" i="1" s="1"/>
  <c r="L37" i="1" a="1"/>
  <c r="L37" i="1" s="1"/>
  <c r="M37" i="1" a="1"/>
  <c r="M37" i="1" s="1"/>
  <c r="N37" i="1" a="1"/>
  <c r="N37" i="1" s="1"/>
  <c r="O37" i="1" a="1"/>
  <c r="O37" i="1" s="1"/>
  <c r="P37" i="1" a="1"/>
  <c r="P37" i="1" s="1"/>
  <c r="Q37" i="1" a="1"/>
  <c r="Q37" i="1" s="1"/>
  <c r="R37" i="1" a="1"/>
  <c r="R37" i="1" s="1"/>
  <c r="S37" i="1" a="1"/>
  <c r="S37" i="1" s="1"/>
  <c r="T37" i="1" a="1"/>
  <c r="T37" i="1" s="1"/>
  <c r="U37" i="1" a="1"/>
  <c r="U37" i="1" s="1"/>
  <c r="V37" i="1" a="1"/>
  <c r="V37" i="1" s="1"/>
  <c r="W37" i="1" a="1"/>
  <c r="W37" i="1" s="1"/>
  <c r="X37" i="1" a="1"/>
  <c r="X37" i="1" s="1"/>
  <c r="Y37" i="1" a="1"/>
  <c r="Y37" i="1" s="1"/>
  <c r="Z37" i="1" a="1"/>
  <c r="Z37" i="1" s="1"/>
  <c r="AA37" i="1" a="1"/>
  <c r="AA37" i="1" s="1"/>
  <c r="AB37" i="1" a="1"/>
  <c r="AB37" i="1" s="1"/>
  <c r="AG37" i="1" a="1"/>
  <c r="AG37" i="1" s="1"/>
  <c r="AH37" i="1" a="1"/>
  <c r="AH37" i="1"/>
  <c r="AJ37" i="1" a="1"/>
  <c r="AJ37" i="1" s="1"/>
  <c r="AK37" i="1" a="1"/>
  <c r="AK37" i="1"/>
  <c r="AL37" i="1" a="1"/>
  <c r="AL37" i="1"/>
  <c r="AM37" i="1" a="1"/>
  <c r="AM37" i="1" s="1"/>
  <c r="AN37" i="1" a="1"/>
  <c r="AN37" i="1" s="1"/>
  <c r="AO37" i="1" a="1"/>
  <c r="AO37" i="1" s="1"/>
  <c r="C38" i="1" a="1"/>
  <c r="C38" i="1" s="1"/>
  <c r="D38" i="1" a="1"/>
  <c r="D38" i="1" s="1"/>
  <c r="E38" i="1" a="1"/>
  <c r="E38" i="1" s="1"/>
  <c r="F38" i="1" a="1"/>
  <c r="F38" i="1" s="1"/>
  <c r="G38" i="1" a="1"/>
  <c r="G38" i="1" s="1"/>
  <c r="H38" i="1" a="1"/>
  <c r="H38" i="1" s="1"/>
  <c r="I38" i="1" a="1"/>
  <c r="I38" i="1" s="1"/>
  <c r="J38" i="1" a="1"/>
  <c r="J38" i="1" s="1"/>
  <c r="K38" i="1" a="1"/>
  <c r="K38" i="1" s="1"/>
  <c r="L38" i="1" a="1"/>
  <c r="L38" i="1" s="1"/>
  <c r="M38" i="1" a="1"/>
  <c r="M38" i="1" s="1"/>
  <c r="N38" i="1" a="1"/>
  <c r="N38" i="1" s="1"/>
  <c r="O38" i="1" a="1"/>
  <c r="O38" i="1" s="1"/>
  <c r="P38" i="1" a="1"/>
  <c r="P38" i="1" s="1"/>
  <c r="Q38" i="1" a="1"/>
  <c r="Q38" i="1" s="1"/>
  <c r="R38" i="1" a="1"/>
  <c r="R38" i="1" s="1"/>
  <c r="S38" i="1" a="1"/>
  <c r="S38" i="1" s="1"/>
  <c r="T38" i="1" a="1"/>
  <c r="T38" i="1" s="1"/>
  <c r="U38" i="1" a="1"/>
  <c r="U38" i="1" s="1"/>
  <c r="V38" i="1" a="1"/>
  <c r="V38" i="1" s="1"/>
  <c r="W38" i="1" a="1"/>
  <c r="W38" i="1" s="1"/>
  <c r="X38" i="1" a="1"/>
  <c r="X38" i="1" s="1"/>
  <c r="Y38" i="1" a="1"/>
  <c r="Y38" i="1" s="1"/>
  <c r="Z38" i="1" a="1"/>
  <c r="Z38" i="1"/>
  <c r="AA38" i="1" a="1"/>
  <c r="AA38" i="1" s="1"/>
  <c r="AB38" i="1" a="1"/>
  <c r="AB38" i="1" s="1"/>
  <c r="AG38" i="1" a="1"/>
  <c r="AG38" i="1" s="1"/>
  <c r="AH38" i="1" a="1"/>
  <c r="AH38" i="1" s="1"/>
  <c r="AJ38" i="1" a="1"/>
  <c r="AJ38" i="1" s="1"/>
  <c r="AK38" i="1" a="1"/>
  <c r="AK38" i="1" s="1"/>
  <c r="AL38" i="1" a="1"/>
  <c r="AL38" i="1"/>
  <c r="AM38" i="1" a="1"/>
  <c r="AM38" i="1" s="1"/>
  <c r="AN38" i="1" a="1"/>
  <c r="AN38" i="1" s="1"/>
  <c r="AO38" i="1" a="1"/>
  <c r="AO38" i="1" s="1"/>
  <c r="C39" i="1" a="1"/>
  <c r="C39" i="1" s="1"/>
  <c r="D39" i="1" a="1"/>
  <c r="D39" i="1" s="1"/>
  <c r="E39" i="1" a="1"/>
  <c r="E39" i="1" s="1"/>
  <c r="F39" i="1" a="1"/>
  <c r="F39" i="1" s="1"/>
  <c r="G39" i="1" a="1"/>
  <c r="G39" i="1" s="1"/>
  <c r="H39" i="1" a="1"/>
  <c r="H39" i="1" s="1"/>
  <c r="I39" i="1" a="1"/>
  <c r="I39" i="1" s="1"/>
  <c r="J39" i="1" a="1"/>
  <c r="J39" i="1" s="1"/>
  <c r="K39" i="1" a="1"/>
  <c r="K39" i="1" s="1"/>
  <c r="L39" i="1" a="1"/>
  <c r="L39" i="1" s="1"/>
  <c r="M39" i="1" a="1"/>
  <c r="M39" i="1" s="1"/>
  <c r="N39" i="1" a="1"/>
  <c r="N39" i="1" s="1"/>
  <c r="O39" i="1" a="1"/>
  <c r="O39" i="1" s="1"/>
  <c r="P39" i="1" a="1"/>
  <c r="P39" i="1" s="1"/>
  <c r="Q39" i="1" a="1"/>
  <c r="Q39" i="1" s="1"/>
  <c r="R39" i="1" a="1"/>
  <c r="R39" i="1" s="1"/>
  <c r="S39" i="1" a="1"/>
  <c r="S39" i="1" s="1"/>
  <c r="T39" i="1" a="1"/>
  <c r="T39" i="1" s="1"/>
  <c r="U39" i="1" a="1"/>
  <c r="U39" i="1" s="1"/>
  <c r="V39" i="1" a="1"/>
  <c r="V39" i="1" s="1"/>
  <c r="W39" i="1" a="1"/>
  <c r="W39" i="1" s="1"/>
  <c r="X39" i="1" a="1"/>
  <c r="X39" i="1" s="1"/>
  <c r="Y39" i="1" a="1"/>
  <c r="Y39" i="1" s="1"/>
  <c r="Z39" i="1" a="1"/>
  <c r="Z39" i="1" s="1"/>
  <c r="AA39" i="1" a="1"/>
  <c r="AA39" i="1" s="1"/>
  <c r="AB39" i="1" a="1"/>
  <c r="AB39" i="1" s="1"/>
  <c r="AG39" i="1" a="1"/>
  <c r="AG39" i="1" s="1"/>
  <c r="AH39" i="1" a="1"/>
  <c r="AH39" i="1" s="1"/>
  <c r="AJ39" i="1" a="1"/>
  <c r="AJ39" i="1" s="1"/>
  <c r="AK39" i="1" a="1"/>
  <c r="AK39" i="1" s="1"/>
  <c r="AL39" i="1" a="1"/>
  <c r="AL39" i="1"/>
  <c r="AM39" i="1" a="1"/>
  <c r="AM39" i="1" s="1"/>
  <c r="AN39" i="1" a="1"/>
  <c r="AN39" i="1" s="1"/>
  <c r="AO39" i="1" a="1"/>
  <c r="AO39" i="1" s="1"/>
  <c r="C40" i="1" a="1"/>
  <c r="C40" i="1" s="1"/>
  <c r="D40" i="1" a="1"/>
  <c r="D40" i="1" s="1"/>
  <c r="E40" i="1" a="1"/>
  <c r="E40" i="1"/>
  <c r="F40" i="1" a="1"/>
  <c r="F40" i="1" s="1"/>
  <c r="G40" i="1" a="1"/>
  <c r="G40" i="1" s="1"/>
  <c r="H40" i="1" a="1"/>
  <c r="H40" i="1" s="1"/>
  <c r="I40" i="1" a="1"/>
  <c r="I40" i="1" s="1"/>
  <c r="J40" i="1" a="1"/>
  <c r="J40" i="1" s="1"/>
  <c r="K40" i="1" a="1"/>
  <c r="K40" i="1" s="1"/>
  <c r="L40" i="1" a="1"/>
  <c r="L40" i="1" s="1"/>
  <c r="M40" i="1" a="1"/>
  <c r="M40" i="1" s="1"/>
  <c r="N40" i="1" a="1"/>
  <c r="N40" i="1" s="1"/>
  <c r="O40" i="1" a="1"/>
  <c r="O40" i="1" s="1"/>
  <c r="P40" i="1" a="1"/>
  <c r="P40" i="1" s="1"/>
  <c r="Q40" i="1" a="1"/>
  <c r="Q40" i="1" s="1"/>
  <c r="R40" i="1" a="1"/>
  <c r="R40" i="1" s="1"/>
  <c r="S40" i="1" a="1"/>
  <c r="S40" i="1" s="1"/>
  <c r="T40" i="1" a="1"/>
  <c r="T40" i="1" s="1"/>
  <c r="U40" i="1" a="1"/>
  <c r="U40" i="1" s="1"/>
  <c r="V40" i="1" a="1"/>
  <c r="V40" i="1" s="1"/>
  <c r="W40" i="1" a="1"/>
  <c r="W40" i="1" s="1"/>
  <c r="X40" i="1" a="1"/>
  <c r="X40" i="1" s="1"/>
  <c r="Y40" i="1" a="1"/>
  <c r="Y40" i="1" s="1"/>
  <c r="Z40" i="1" a="1"/>
  <c r="Z40" i="1"/>
  <c r="AA40" i="1" a="1"/>
  <c r="AA40" i="1" s="1"/>
  <c r="AB40" i="1" a="1"/>
  <c r="AB40" i="1" s="1"/>
  <c r="AG40" i="1" a="1"/>
  <c r="AG40" i="1" s="1"/>
  <c r="AH40" i="1" a="1"/>
  <c r="AH40" i="1" s="1"/>
  <c r="AJ40" i="1" a="1"/>
  <c r="AJ40" i="1" s="1"/>
  <c r="AK40" i="1" a="1"/>
  <c r="AK40" i="1" s="1"/>
  <c r="AL40" i="1" a="1"/>
  <c r="AL40" i="1"/>
  <c r="AM40" i="1" a="1"/>
  <c r="AM40" i="1" s="1"/>
  <c r="AN40" i="1" a="1"/>
  <c r="AN40" i="1" s="1"/>
  <c r="AO40" i="1" a="1"/>
  <c r="AO40" i="1" s="1"/>
  <c r="C41" i="1" a="1"/>
  <c r="C41" i="1" s="1"/>
  <c r="D41" i="1" a="1"/>
  <c r="D41" i="1" s="1"/>
  <c r="E41" i="1" a="1"/>
  <c r="E41" i="1" s="1"/>
  <c r="F41" i="1" a="1"/>
  <c r="F41" i="1" s="1"/>
  <c r="G41" i="1" a="1"/>
  <c r="G41" i="1" s="1"/>
  <c r="H41" i="1" a="1"/>
  <c r="H41" i="1" s="1"/>
  <c r="I41" i="1" a="1"/>
  <c r="I41" i="1" s="1"/>
  <c r="J41" i="1" a="1"/>
  <c r="J41" i="1" s="1"/>
  <c r="K41" i="1" a="1"/>
  <c r="K41" i="1" s="1"/>
  <c r="L41" i="1" a="1"/>
  <c r="L41" i="1" s="1"/>
  <c r="M41" i="1" a="1"/>
  <c r="M41" i="1" s="1"/>
  <c r="N41" i="1" a="1"/>
  <c r="N41" i="1" s="1"/>
  <c r="O41" i="1" a="1"/>
  <c r="O41" i="1" s="1"/>
  <c r="P41" i="1" a="1"/>
  <c r="P41" i="1" s="1"/>
  <c r="Q41" i="1" a="1"/>
  <c r="Q41" i="1" s="1"/>
  <c r="R41" i="1" a="1"/>
  <c r="R41" i="1" s="1"/>
  <c r="S41" i="1" a="1"/>
  <c r="S41" i="1" s="1"/>
  <c r="T41" i="1" a="1"/>
  <c r="T41" i="1" s="1"/>
  <c r="U41" i="1" a="1"/>
  <c r="U41" i="1" s="1"/>
  <c r="V41" i="1" a="1"/>
  <c r="V41" i="1" s="1"/>
  <c r="W41" i="1" a="1"/>
  <c r="W41" i="1" s="1"/>
  <c r="X41" i="1" a="1"/>
  <c r="X41" i="1" s="1"/>
  <c r="Y41" i="1" a="1"/>
  <c r="Y41" i="1"/>
  <c r="Z41" i="1" a="1"/>
  <c r="Z41" i="1"/>
  <c r="AA41" i="1" a="1"/>
  <c r="AA41" i="1" s="1"/>
  <c r="AB41" i="1" a="1"/>
  <c r="AB41" i="1" s="1"/>
  <c r="AG41" i="1" a="1"/>
  <c r="AG41" i="1" s="1"/>
  <c r="AH41" i="1" a="1"/>
  <c r="AH41" i="1" s="1"/>
  <c r="AJ41" i="1" a="1"/>
  <c r="AJ41" i="1" s="1"/>
  <c r="AK41" i="1" a="1"/>
  <c r="AK41" i="1" s="1"/>
  <c r="AL41" i="1" a="1"/>
  <c r="AL41" i="1" s="1"/>
  <c r="AM41" i="1" a="1"/>
  <c r="AM41" i="1" s="1"/>
  <c r="AN41" i="1" a="1"/>
  <c r="AN41" i="1" s="1"/>
  <c r="AO41" i="1" a="1"/>
  <c r="AO41" i="1" s="1"/>
  <c r="C42" i="1" a="1"/>
  <c r="C42" i="1" s="1"/>
  <c r="D42" i="1" a="1"/>
  <c r="D42" i="1" s="1"/>
  <c r="E42" i="1" a="1"/>
  <c r="E42" i="1" s="1"/>
  <c r="F42" i="1" a="1"/>
  <c r="F42" i="1"/>
  <c r="G42" i="1" a="1"/>
  <c r="G42" i="1" s="1"/>
  <c r="H42" i="1" a="1"/>
  <c r="H42" i="1" s="1"/>
  <c r="I42" i="1" a="1"/>
  <c r="I42" i="1" s="1"/>
  <c r="J42" i="1" a="1"/>
  <c r="J42" i="1" s="1"/>
  <c r="K42" i="1" a="1"/>
  <c r="K42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Q42" i="1" a="1"/>
  <c r="Q42" i="1" s="1"/>
  <c r="R42" i="1" a="1"/>
  <c r="R42" i="1" s="1"/>
  <c r="S42" i="1" a="1"/>
  <c r="S42" i="1" s="1"/>
  <c r="T42" i="1" a="1"/>
  <c r="T42" i="1" s="1"/>
  <c r="U42" i="1" a="1"/>
  <c r="U42" i="1" s="1"/>
  <c r="V42" i="1" a="1"/>
  <c r="V42" i="1" s="1"/>
  <c r="W42" i="1" a="1"/>
  <c r="W42" i="1" s="1"/>
  <c r="X42" i="1" a="1"/>
  <c r="X42" i="1" s="1"/>
  <c r="Y42" i="1" a="1"/>
  <c r="Y42" i="1" s="1"/>
  <c r="Z42" i="1" a="1"/>
  <c r="Z42" i="1" s="1"/>
  <c r="AA42" i="1" a="1"/>
  <c r="AA42" i="1" s="1"/>
  <c r="AB42" i="1" a="1"/>
  <c r="AB42" i="1" s="1"/>
  <c r="AG42" i="1" a="1"/>
  <c r="AG42" i="1"/>
  <c r="AH42" i="1" a="1"/>
  <c r="AH42" i="1" s="1"/>
  <c r="AJ42" i="1" a="1"/>
  <c r="AJ42" i="1" s="1"/>
  <c r="AK42" i="1" a="1"/>
  <c r="AK42" i="1" s="1"/>
  <c r="AL42" i="1" a="1"/>
  <c r="AL42" i="1"/>
  <c r="AM42" i="1" a="1"/>
  <c r="AM42" i="1" s="1"/>
  <c r="AN42" i="1" a="1"/>
  <c r="AN42" i="1" s="1"/>
  <c r="AO42" i="1" a="1"/>
  <c r="AO42" i="1" s="1"/>
  <c r="C43" i="1" a="1"/>
  <c r="C43" i="1"/>
  <c r="D43" i="1" a="1"/>
  <c r="D43" i="1" s="1"/>
  <c r="E43" i="1" a="1"/>
  <c r="E43" i="1" s="1"/>
  <c r="F43" i="1" a="1"/>
  <c r="F43" i="1" s="1"/>
  <c r="G43" i="1" a="1"/>
  <c r="G43" i="1" s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Q43" i="1" a="1"/>
  <c r="Q43" i="1" s="1"/>
  <c r="R43" i="1" a="1"/>
  <c r="R43" i="1" s="1"/>
  <c r="S43" i="1" a="1"/>
  <c r="S43" i="1" s="1"/>
  <c r="T43" i="1" a="1"/>
  <c r="T43" i="1" s="1"/>
  <c r="U43" i="1" a="1"/>
  <c r="U43" i="1" s="1"/>
  <c r="V43" i="1" a="1"/>
  <c r="V43" i="1" s="1"/>
  <c r="W43" i="1" a="1"/>
  <c r="W43" i="1" s="1"/>
  <c r="X43" i="1" a="1"/>
  <c r="X43" i="1" s="1"/>
  <c r="Y43" i="1" a="1"/>
  <c r="Y43" i="1" s="1"/>
  <c r="Z43" i="1" a="1"/>
  <c r="Z43" i="1" s="1"/>
  <c r="AA43" i="1" a="1"/>
  <c r="AA43" i="1" s="1"/>
  <c r="AB43" i="1" a="1"/>
  <c r="AB43" i="1" s="1"/>
  <c r="AG43" i="1" a="1"/>
  <c r="AG43" i="1" s="1"/>
  <c r="AH43" i="1" a="1"/>
  <c r="AH43" i="1" s="1"/>
  <c r="AJ43" i="1" a="1"/>
  <c r="AJ43" i="1" s="1"/>
  <c r="AK43" i="1" a="1"/>
  <c r="AK43" i="1" s="1"/>
  <c r="AL43" i="1" a="1"/>
  <c r="AL43" i="1" s="1"/>
  <c r="AM43" i="1" a="1"/>
  <c r="AM43" i="1" s="1"/>
  <c r="AN43" i="1" a="1"/>
  <c r="AN43" i="1" s="1"/>
  <c r="AO43" i="1" a="1"/>
  <c r="AO43" i="1" s="1"/>
  <c r="C44" i="1" a="1"/>
  <c r="C44" i="1" s="1"/>
  <c r="D44" i="1" a="1"/>
  <c r="D44" i="1" s="1"/>
  <c r="E44" i="1" a="1"/>
  <c r="E44" i="1" s="1"/>
  <c r="F44" i="1" a="1"/>
  <c r="F44" i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R44" i="1" a="1"/>
  <c r="R44" i="1" s="1"/>
  <c r="S44" i="1" a="1"/>
  <c r="S44" i="1" s="1"/>
  <c r="T44" i="1" a="1"/>
  <c r="T44" i="1" s="1"/>
  <c r="U44" i="1" a="1"/>
  <c r="U44" i="1" s="1"/>
  <c r="V44" i="1" a="1"/>
  <c r="V44" i="1" s="1"/>
  <c r="W44" i="1" a="1"/>
  <c r="W44" i="1" s="1"/>
  <c r="X44" i="1" a="1"/>
  <c r="X44" i="1" s="1"/>
  <c r="Y44" i="1" a="1"/>
  <c r="Y44" i="1" s="1"/>
  <c r="Z44" i="1" a="1"/>
  <c r="Z44" i="1" s="1"/>
  <c r="AA44" i="1" a="1"/>
  <c r="AA44" i="1" s="1"/>
  <c r="AB44" i="1" a="1"/>
  <c r="AB44" i="1" s="1"/>
  <c r="AG44" i="1" a="1"/>
  <c r="AG44" i="1" s="1"/>
  <c r="AH44" i="1" a="1"/>
  <c r="AH44" i="1" s="1"/>
  <c r="AJ44" i="1" a="1"/>
  <c r="AJ44" i="1" s="1"/>
  <c r="AK44" i="1" a="1"/>
  <c r="AK44" i="1" s="1"/>
  <c r="AL44" i="1" a="1"/>
  <c r="AL44" i="1"/>
  <c r="AM44" i="1" a="1"/>
  <c r="AM44" i="1" s="1"/>
  <c r="AN44" i="1" a="1"/>
  <c r="AN44" i="1" s="1"/>
  <c r="AO44" i="1" a="1"/>
  <c r="AO44" i="1" s="1"/>
  <c r="C45" i="1" a="1"/>
  <c r="C45" i="1" s="1"/>
  <c r="D45" i="1" a="1"/>
  <c r="D45" i="1" s="1"/>
  <c r="E45" i="1" a="1"/>
  <c r="E45" i="1" s="1"/>
  <c r="F45" i="1" a="1"/>
  <c r="F45" i="1" s="1"/>
  <c r="G45" i="1" a="1"/>
  <c r="G45" i="1" s="1"/>
  <c r="H45" i="1" a="1"/>
  <c r="H45" i="1" s="1"/>
  <c r="I45" i="1" a="1"/>
  <c r="I45" i="1" s="1"/>
  <c r="J45" i="1" a="1"/>
  <c r="J45" i="1" s="1"/>
  <c r="K45" i="1" a="1"/>
  <c r="K45" i="1" s="1"/>
  <c r="L45" i="1" a="1"/>
  <c r="L45" i="1" s="1"/>
  <c r="M45" i="1" a="1"/>
  <c r="M45" i="1" s="1"/>
  <c r="N45" i="1" a="1"/>
  <c r="N45" i="1" s="1"/>
  <c r="O45" i="1" a="1"/>
  <c r="O45" i="1" s="1"/>
  <c r="P45" i="1" a="1"/>
  <c r="P45" i="1" s="1"/>
  <c r="Q45" i="1" a="1"/>
  <c r="Q45" i="1" s="1"/>
  <c r="R45" i="1" a="1"/>
  <c r="R45" i="1" s="1"/>
  <c r="S45" i="1" a="1"/>
  <c r="S45" i="1" s="1"/>
  <c r="T45" i="1" a="1"/>
  <c r="T45" i="1" s="1"/>
  <c r="U45" i="1" a="1"/>
  <c r="U45" i="1" s="1"/>
  <c r="V45" i="1" a="1"/>
  <c r="V45" i="1" s="1"/>
  <c r="W45" i="1" a="1"/>
  <c r="W45" i="1" s="1"/>
  <c r="X45" i="1" a="1"/>
  <c r="X45" i="1" s="1"/>
  <c r="Y45" i="1" a="1"/>
  <c r="Y45" i="1" s="1"/>
  <c r="Z45" i="1" a="1"/>
  <c r="Z45" i="1" s="1"/>
  <c r="AA45" i="1" a="1"/>
  <c r="AA45" i="1" s="1"/>
  <c r="AB45" i="1" a="1"/>
  <c r="AB45" i="1" s="1"/>
  <c r="AG45" i="1" a="1"/>
  <c r="AG45" i="1" s="1"/>
  <c r="AH45" i="1" a="1"/>
  <c r="AH45" i="1" s="1"/>
  <c r="AJ45" i="1" a="1"/>
  <c r="AJ45" i="1" s="1"/>
  <c r="AK45" i="1" a="1"/>
  <c r="AK45" i="1" s="1"/>
  <c r="AL45" i="1" a="1"/>
  <c r="AL45" i="1"/>
  <c r="AM45" i="1" a="1"/>
  <c r="AM45" i="1" s="1"/>
  <c r="AN45" i="1" a="1"/>
  <c r="AN45" i="1" s="1"/>
  <c r="AO45" i="1" a="1"/>
  <c r="AO45" i="1" s="1"/>
  <c r="C46" i="1" a="1"/>
  <c r="C46" i="1" s="1"/>
  <c r="D46" i="1" a="1"/>
  <c r="D46" i="1" s="1"/>
  <c r="E46" i="1" a="1"/>
  <c r="E46" i="1" s="1"/>
  <c r="F46" i="1" a="1"/>
  <c r="F46" i="1"/>
  <c r="G46" i="1" a="1"/>
  <c r="G46" i="1" s="1"/>
  <c r="H46" i="1" a="1"/>
  <c r="H46" i="1" s="1"/>
  <c r="I46" i="1" a="1"/>
  <c r="I46" i="1" s="1"/>
  <c r="J46" i="1" a="1"/>
  <c r="J46" i="1" s="1"/>
  <c r="K46" i="1" a="1"/>
  <c r="K46" i="1" s="1"/>
  <c r="L46" i="1" a="1"/>
  <c r="L46" i="1" s="1"/>
  <c r="M46" i="1" a="1"/>
  <c r="M46" i="1" s="1"/>
  <c r="N46" i="1" a="1"/>
  <c r="N46" i="1" s="1"/>
  <c r="O46" i="1" a="1"/>
  <c r="O46" i="1" s="1"/>
  <c r="P46" i="1" a="1"/>
  <c r="P46" i="1" s="1"/>
  <c r="Q46" i="1" a="1"/>
  <c r="Q46" i="1" s="1"/>
  <c r="R46" i="1" a="1"/>
  <c r="R46" i="1" s="1"/>
  <c r="S46" i="1" a="1"/>
  <c r="S46" i="1" s="1"/>
  <c r="T46" i="1" a="1"/>
  <c r="T46" i="1" s="1"/>
  <c r="U46" i="1" a="1"/>
  <c r="U46" i="1" s="1"/>
  <c r="V46" i="1" a="1"/>
  <c r="V46" i="1" s="1"/>
  <c r="W46" i="1" a="1"/>
  <c r="W46" i="1" s="1"/>
  <c r="X46" i="1" a="1"/>
  <c r="X46" i="1" s="1"/>
  <c r="Y46" i="1" a="1"/>
  <c r="Y46" i="1"/>
  <c r="Z46" i="1" a="1"/>
  <c r="Z46" i="1" s="1"/>
  <c r="AA46" i="1" a="1"/>
  <c r="AA46" i="1" s="1"/>
  <c r="AB46" i="1" a="1"/>
  <c r="AB46" i="1" s="1"/>
  <c r="AG46" i="1" a="1"/>
  <c r="AG46" i="1" s="1"/>
  <c r="AH46" i="1" a="1"/>
  <c r="AH46" i="1" s="1"/>
  <c r="AJ46" i="1" a="1"/>
  <c r="AJ46" i="1" s="1"/>
  <c r="AK46" i="1" a="1"/>
  <c r="AK46" i="1" s="1"/>
  <c r="AL46" i="1" a="1"/>
  <c r="AL46" i="1" s="1"/>
  <c r="AM46" i="1" a="1"/>
  <c r="AM46" i="1" s="1"/>
  <c r="AN46" i="1" a="1"/>
  <c r="AN46" i="1" s="1"/>
  <c r="AO46" i="1" a="1"/>
  <c r="AO46" i="1" s="1"/>
  <c r="C47" i="1" a="1"/>
  <c r="C47" i="1" s="1"/>
  <c r="D47" i="1" a="1"/>
  <c r="D47" i="1" s="1"/>
  <c r="E47" i="1" a="1"/>
  <c r="E47" i="1" s="1"/>
  <c r="F47" i="1" a="1"/>
  <c r="F47" i="1" s="1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M47" i="1" a="1"/>
  <c r="M47" i="1" s="1"/>
  <c r="N47" i="1" a="1"/>
  <c r="N47" i="1" s="1"/>
  <c r="O47" i="1" a="1"/>
  <c r="O47" i="1" s="1"/>
  <c r="P47" i="1" a="1"/>
  <c r="P47" i="1" s="1"/>
  <c r="Q47" i="1" a="1"/>
  <c r="Q47" i="1" s="1"/>
  <c r="R47" i="1" a="1"/>
  <c r="R47" i="1" s="1"/>
  <c r="S47" i="1" a="1"/>
  <c r="S47" i="1" s="1"/>
  <c r="T47" i="1" a="1"/>
  <c r="T47" i="1" s="1"/>
  <c r="U47" i="1" a="1"/>
  <c r="U47" i="1" s="1"/>
  <c r="V47" i="1" a="1"/>
  <c r="V47" i="1" s="1"/>
  <c r="W47" i="1" a="1"/>
  <c r="W47" i="1" s="1"/>
  <c r="X47" i="1" a="1"/>
  <c r="X47" i="1" s="1"/>
  <c r="Y47" i="1" a="1"/>
  <c r="Y47" i="1" s="1"/>
  <c r="Z47" i="1" a="1"/>
  <c r="Z47" i="1" s="1"/>
  <c r="AA47" i="1" a="1"/>
  <c r="AA47" i="1" s="1"/>
  <c r="AB47" i="1" a="1"/>
  <c r="AB47" i="1" s="1"/>
  <c r="AG47" i="1" a="1"/>
  <c r="AG47" i="1" s="1"/>
  <c r="AH47" i="1" a="1"/>
  <c r="AH47" i="1"/>
  <c r="AJ47" i="1" a="1"/>
  <c r="AJ47" i="1" s="1"/>
  <c r="AK47" i="1" a="1"/>
  <c r="AK47" i="1" s="1"/>
  <c r="AL47" i="1" a="1"/>
  <c r="AL47" i="1"/>
  <c r="AM47" i="1" a="1"/>
  <c r="AM47" i="1" s="1"/>
  <c r="AN47" i="1" a="1"/>
  <c r="AN47" i="1" s="1"/>
  <c r="AO47" i="1" a="1"/>
  <c r="AO47" i="1" s="1"/>
  <c r="C48" i="1" a="1"/>
  <c r="C48" i="1" s="1"/>
  <c r="D48" i="1" a="1"/>
  <c r="D48" i="1"/>
  <c r="E48" i="1" a="1"/>
  <c r="E48" i="1" s="1"/>
  <c r="F48" i="1" a="1"/>
  <c r="F48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Y48" i="1" a="1"/>
  <c r="Y48" i="1"/>
  <c r="Z48" i="1" a="1"/>
  <c r="Z48" i="1" s="1"/>
  <c r="AA48" i="1" a="1"/>
  <c r="AA48" i="1" s="1"/>
  <c r="AB48" i="1" a="1"/>
  <c r="AB48" i="1" s="1"/>
  <c r="AG48" i="1" a="1"/>
  <c r="AG48" i="1" s="1"/>
  <c r="AH48" i="1" a="1"/>
  <c r="AH48" i="1" s="1"/>
  <c r="AJ48" i="1" a="1"/>
  <c r="AJ48" i="1" s="1"/>
  <c r="AK48" i="1" a="1"/>
  <c r="AK48" i="1"/>
  <c r="AL48" i="1" a="1"/>
  <c r="AL48" i="1" s="1"/>
  <c r="AM48" i="1" a="1"/>
  <c r="AM48" i="1" s="1"/>
  <c r="AN48" i="1" a="1"/>
  <c r="AN48" i="1" s="1"/>
  <c r="AO48" i="1" a="1"/>
  <c r="AO48" i="1" s="1"/>
  <c r="C49" i="1" a="1"/>
  <c r="C49" i="1" s="1"/>
  <c r="D49" i="1" a="1"/>
  <c r="D49" i="1" s="1"/>
  <c r="E49" i="1" a="1"/>
  <c r="E49" i="1" s="1"/>
  <c r="F49" i="1" a="1"/>
  <c r="F49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T49" i="1" a="1"/>
  <c r="T49" i="1" s="1"/>
  <c r="U49" i="1" a="1"/>
  <c r="U49" i="1" s="1"/>
  <c r="V49" i="1" a="1"/>
  <c r="V49" i="1" s="1"/>
  <c r="W49" i="1" a="1"/>
  <c r="W49" i="1" s="1"/>
  <c r="X49" i="1" a="1"/>
  <c r="X49" i="1" s="1"/>
  <c r="Y49" i="1" a="1"/>
  <c r="Y49" i="1"/>
  <c r="Z49" i="1" a="1"/>
  <c r="Z49" i="1" s="1"/>
  <c r="AA49" i="1" a="1"/>
  <c r="AA49" i="1" s="1"/>
  <c r="AB49" i="1" a="1"/>
  <c r="AB49" i="1" s="1"/>
  <c r="AG49" i="1" a="1"/>
  <c r="AG49" i="1" s="1"/>
  <c r="AH49" i="1" a="1"/>
  <c r="AH49" i="1" s="1"/>
  <c r="AJ49" i="1" a="1"/>
  <c r="AJ49" i="1" s="1"/>
  <c r="AK49" i="1" a="1"/>
  <c r="AK49" i="1" s="1"/>
  <c r="AL49" i="1" a="1"/>
  <c r="AL49" i="1" s="1"/>
  <c r="AM49" i="1" a="1"/>
  <c r="AM49" i="1" s="1"/>
  <c r="AN49" i="1" a="1"/>
  <c r="AN49" i="1" s="1"/>
  <c r="AO49" i="1" a="1"/>
  <c r="AO49" i="1" s="1"/>
  <c r="C50" i="1" a="1"/>
  <c r="C50" i="1" s="1"/>
  <c r="D50" i="1" a="1"/>
  <c r="D50" i="1" s="1"/>
  <c r="E50" i="1" a="1"/>
  <c r="E50" i="1" s="1"/>
  <c r="F50" i="1" a="1"/>
  <c r="F50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Q50" i="1" a="1"/>
  <c r="Q50" i="1" s="1"/>
  <c r="R50" i="1" a="1"/>
  <c r="R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/>
  <c r="Z50" i="1" a="1"/>
  <c r="Z50" i="1" s="1"/>
  <c r="AA50" i="1" a="1"/>
  <c r="AA50" i="1" s="1"/>
  <c r="AB50" i="1" a="1"/>
  <c r="AB50" i="1" s="1"/>
  <c r="AG50" i="1" a="1"/>
  <c r="AG50" i="1" s="1"/>
  <c r="AH50" i="1" a="1"/>
  <c r="AH50" i="1" s="1"/>
  <c r="AJ50" i="1" a="1"/>
  <c r="AJ50" i="1" s="1"/>
  <c r="AK50" i="1" a="1"/>
  <c r="AK50" i="1" s="1"/>
  <c r="AL50" i="1" a="1"/>
  <c r="AL50" i="1" s="1"/>
  <c r="AM50" i="1" a="1"/>
  <c r="AM50" i="1" s="1"/>
  <c r="AN50" i="1" a="1"/>
  <c r="AN50" i="1" s="1"/>
  <c r="AO50" i="1" a="1"/>
  <c r="AO50" i="1" s="1"/>
  <c r="C51" i="1" a="1"/>
  <c r="C51" i="1" s="1"/>
  <c r="D51" i="1" a="1"/>
  <c r="D51" i="1" s="1"/>
  <c r="E51" i="1" a="1"/>
  <c r="E51" i="1" s="1"/>
  <c r="F51" i="1" a="1"/>
  <c r="F51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/>
  <c r="Z51" i="1" a="1"/>
  <c r="Z51" i="1" s="1"/>
  <c r="AA51" i="1" a="1"/>
  <c r="AA51" i="1" s="1"/>
  <c r="AB51" i="1" a="1"/>
  <c r="AB51" i="1" s="1"/>
  <c r="AG51" i="1" a="1"/>
  <c r="AG51" i="1" s="1"/>
  <c r="AH51" i="1" a="1"/>
  <c r="AH51" i="1" s="1"/>
  <c r="AJ51" i="1" a="1"/>
  <c r="AJ51" i="1" s="1"/>
  <c r="AK51" i="1" a="1"/>
  <c r="AK51" i="1" s="1"/>
  <c r="AL51" i="1" a="1"/>
  <c r="AL51" i="1" s="1"/>
  <c r="AM51" i="1" a="1"/>
  <c r="AM51" i="1" s="1"/>
  <c r="AN51" i="1" a="1"/>
  <c r="AN51" i="1" s="1"/>
  <c r="AO51" i="1" a="1"/>
  <c r="AO51" i="1" s="1"/>
  <c r="C52" i="1" a="1"/>
  <c r="C52" i="1" s="1"/>
  <c r="D52" i="1" a="1"/>
  <c r="D52" i="1" s="1"/>
  <c r="E52" i="1" a="1"/>
  <c r="E52" i="1" s="1"/>
  <c r="F52" i="1" a="1"/>
  <c r="F52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W52" i="1" a="1"/>
  <c r="W52" i="1" s="1"/>
  <c r="X52" i="1" a="1"/>
  <c r="X52" i="1" s="1"/>
  <c r="Y52" i="1" a="1"/>
  <c r="Y52" i="1" s="1"/>
  <c r="Z52" i="1" a="1"/>
  <c r="Z52" i="1" s="1"/>
  <c r="AA52" i="1" a="1"/>
  <c r="AA52" i="1" s="1"/>
  <c r="AB52" i="1" a="1"/>
  <c r="AB52" i="1" s="1"/>
  <c r="AG52" i="1" a="1"/>
  <c r="AG52" i="1" s="1"/>
  <c r="AH52" i="1" a="1"/>
  <c r="AH52" i="1" s="1"/>
  <c r="AJ52" i="1" a="1"/>
  <c r="AJ52" i="1" s="1"/>
  <c r="AK52" i="1" a="1"/>
  <c r="AK52" i="1"/>
  <c r="AL52" i="1" a="1"/>
  <c r="AL52" i="1"/>
  <c r="AM52" i="1" a="1"/>
  <c r="AM52" i="1" s="1"/>
  <c r="AN52" i="1" a="1"/>
  <c r="AN52" i="1" s="1"/>
  <c r="AO52" i="1" a="1"/>
  <c r="AO52" i="1" s="1"/>
  <c r="C53" i="1" a="1"/>
  <c r="C53" i="1" s="1"/>
  <c r="D53" i="1" a="1"/>
  <c r="D53" i="1" s="1"/>
  <c r="E53" i="1" a="1"/>
  <c r="E53" i="1" s="1"/>
  <c r="F53" i="1" a="1"/>
  <c r="F53" i="1" s="1"/>
  <c r="G53" i="1" a="1"/>
  <c r="G53" i="1" s="1"/>
  <c r="H53" i="1" a="1"/>
  <c r="H53" i="1" s="1"/>
  <c r="I53" i="1" a="1"/>
  <c r="I53" i="1" s="1"/>
  <c r="J53" i="1" a="1"/>
  <c r="J53" i="1" s="1"/>
  <c r="K53" i="1" a="1"/>
  <c r="K53" i="1" s="1"/>
  <c r="L53" i="1" a="1"/>
  <c r="L53" i="1" s="1"/>
  <c r="M53" i="1" a="1"/>
  <c r="M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/>
  <c r="Z53" i="1" a="1"/>
  <c r="Z53" i="1" s="1"/>
  <c r="AA53" i="1" a="1"/>
  <c r="AA53" i="1" s="1"/>
  <c r="AB53" i="1" a="1"/>
  <c r="AB53" i="1" s="1"/>
  <c r="AG53" i="1" a="1"/>
  <c r="AG53" i="1"/>
  <c r="AH53" i="1" a="1"/>
  <c r="AH53" i="1"/>
  <c r="AJ53" i="1" a="1"/>
  <c r="AJ53" i="1" s="1"/>
  <c r="AK53" i="1" a="1"/>
  <c r="AK53" i="1" s="1"/>
  <c r="AL53" i="1" a="1"/>
  <c r="AL53" i="1" s="1"/>
  <c r="AM53" i="1" a="1"/>
  <c r="AM53" i="1" s="1"/>
  <c r="AN53" i="1" a="1"/>
  <c r="AN53" i="1" s="1"/>
  <c r="AO53" i="1" a="1"/>
  <c r="AO53" i="1" s="1"/>
  <c r="C54" i="1" a="1"/>
  <c r="C54" i="1" s="1"/>
  <c r="D54" i="1" a="1"/>
  <c r="D54" i="1" s="1"/>
  <c r="E54" i="1" a="1"/>
  <c r="E54" i="1" s="1"/>
  <c r="F54" i="1" a="1"/>
  <c r="F54" i="1" s="1"/>
  <c r="G54" i="1" a="1"/>
  <c r="G54" i="1" s="1"/>
  <c r="H54" i="1" a="1"/>
  <c r="H54" i="1" s="1"/>
  <c r="I54" i="1" a="1"/>
  <c r="I54" i="1" s="1"/>
  <c r="J54" i="1" a="1"/>
  <c r="J54" i="1" s="1"/>
  <c r="K54" i="1" a="1"/>
  <c r="K54" i="1" s="1"/>
  <c r="L54" i="1" a="1"/>
  <c r="L54" i="1" s="1"/>
  <c r="M54" i="1" a="1"/>
  <c r="M54" i="1" s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AA54" i="1" a="1"/>
  <c r="AA54" i="1" s="1"/>
  <c r="AB54" i="1" a="1"/>
  <c r="AB54" i="1" s="1"/>
  <c r="AG54" i="1" a="1"/>
  <c r="AG54" i="1"/>
  <c r="AH54" i="1" a="1"/>
  <c r="AH54" i="1" s="1"/>
  <c r="AJ54" i="1" a="1"/>
  <c r="AJ54" i="1" s="1"/>
  <c r="AK54" i="1" a="1"/>
  <c r="AK54" i="1" s="1"/>
  <c r="AL54" i="1" a="1"/>
  <c r="AL54" i="1"/>
  <c r="AM54" i="1" a="1"/>
  <c r="AM54" i="1" s="1"/>
  <c r="AN54" i="1" a="1"/>
  <c r="AN54" i="1" s="1"/>
  <c r="AO54" i="1" a="1"/>
  <c r="AO54" i="1" s="1"/>
  <c r="C55" i="1" a="1"/>
  <c r="C55" i="1" s="1"/>
  <c r="D55" i="1" a="1"/>
  <c r="D55" i="1" s="1"/>
  <c r="E55" i="1" a="1"/>
  <c r="E55" i="1" s="1"/>
  <c r="F55" i="1" a="1"/>
  <c r="F55" i="1"/>
  <c r="G55" i="1" a="1"/>
  <c r="G55" i="1" s="1"/>
  <c r="H55" i="1" a="1"/>
  <c r="H55" i="1" s="1"/>
  <c r="I55" i="1" a="1"/>
  <c r="I55" i="1" s="1"/>
  <c r="J55" i="1" a="1"/>
  <c r="J55" i="1" s="1"/>
  <c r="K55" i="1" a="1"/>
  <c r="K55" i="1" s="1"/>
  <c r="L55" i="1" a="1"/>
  <c r="L55" i="1" s="1"/>
  <c r="M55" i="1" a="1"/>
  <c r="M55" i="1" s="1"/>
  <c r="N55" i="1" a="1"/>
  <c r="N55" i="1" s="1"/>
  <c r="O55" i="1" a="1"/>
  <c r="O55" i="1" s="1"/>
  <c r="P55" i="1" a="1"/>
  <c r="P55" i="1" s="1"/>
  <c r="Q55" i="1" a="1"/>
  <c r="Q55" i="1" s="1"/>
  <c r="R55" i="1" a="1"/>
  <c r="R55" i="1" s="1"/>
  <c r="S55" i="1" a="1"/>
  <c r="S55" i="1" s="1"/>
  <c r="T55" i="1" a="1"/>
  <c r="T55" i="1" s="1"/>
  <c r="U55" i="1" a="1"/>
  <c r="U55" i="1" s="1"/>
  <c r="V55" i="1" a="1"/>
  <c r="V55" i="1" s="1"/>
  <c r="W55" i="1" a="1"/>
  <c r="W55" i="1" s="1"/>
  <c r="X55" i="1" a="1"/>
  <c r="X55" i="1" s="1"/>
  <c r="Y55" i="1" a="1"/>
  <c r="Y55" i="1" s="1"/>
  <c r="Z55" i="1" a="1"/>
  <c r="Z55" i="1" s="1"/>
  <c r="AA55" i="1" a="1"/>
  <c r="AA55" i="1" s="1"/>
  <c r="AB55" i="1" a="1"/>
  <c r="AB55" i="1" s="1"/>
  <c r="AG55" i="1" a="1"/>
  <c r="AG55" i="1" s="1"/>
  <c r="AH55" i="1" a="1"/>
  <c r="AH55" i="1" s="1"/>
  <c r="AJ55" i="1" a="1"/>
  <c r="AJ55" i="1" s="1"/>
  <c r="AK55" i="1" a="1"/>
  <c r="AK55" i="1" s="1"/>
  <c r="AL55" i="1" a="1"/>
  <c r="AL55" i="1"/>
  <c r="AM55" i="1" a="1"/>
  <c r="AM55" i="1" s="1"/>
  <c r="AN55" i="1" a="1"/>
  <c r="AN55" i="1" s="1"/>
  <c r="AO55" i="1" a="1"/>
  <c r="AO55" i="1" s="1"/>
  <c r="C56" i="1" a="1"/>
  <c r="C56" i="1" s="1"/>
  <c r="D56" i="1" a="1"/>
  <c r="D56" i="1" s="1"/>
  <c r="E56" i="1" a="1"/>
  <c r="E56" i="1" s="1"/>
  <c r="F56" i="1" a="1"/>
  <c r="F56" i="1" s="1"/>
  <c r="G56" i="1" a="1"/>
  <c r="G56" i="1" s="1"/>
  <c r="H56" i="1" a="1"/>
  <c r="H56" i="1" s="1"/>
  <c r="I56" i="1" a="1"/>
  <c r="I56" i="1" s="1"/>
  <c r="J56" i="1" a="1"/>
  <c r="J56" i="1" s="1"/>
  <c r="K56" i="1" a="1"/>
  <c r="K56" i="1" s="1"/>
  <c r="L56" i="1" a="1"/>
  <c r="L56" i="1" s="1"/>
  <c r="M56" i="1" a="1"/>
  <c r="M56" i="1" s="1"/>
  <c r="N56" i="1" a="1"/>
  <c r="N56" i="1" s="1"/>
  <c r="O56" i="1" a="1"/>
  <c r="O56" i="1" s="1"/>
  <c r="P56" i="1" a="1"/>
  <c r="P56" i="1" s="1"/>
  <c r="Q56" i="1" a="1"/>
  <c r="Q56" i="1" s="1"/>
  <c r="R56" i="1" a="1"/>
  <c r="R56" i="1" s="1"/>
  <c r="S56" i="1" a="1"/>
  <c r="S56" i="1" s="1"/>
  <c r="T56" i="1" a="1"/>
  <c r="T56" i="1" s="1"/>
  <c r="U56" i="1" a="1"/>
  <c r="U56" i="1" s="1"/>
  <c r="V56" i="1" a="1"/>
  <c r="V56" i="1" s="1"/>
  <c r="W56" i="1" a="1"/>
  <c r="W56" i="1" s="1"/>
  <c r="X56" i="1" a="1"/>
  <c r="X56" i="1" s="1"/>
  <c r="Y56" i="1" a="1"/>
  <c r="Y56" i="1" s="1"/>
  <c r="Z56" i="1" a="1"/>
  <c r="Z56" i="1"/>
  <c r="AA56" i="1" a="1"/>
  <c r="AA56" i="1" s="1"/>
  <c r="AB56" i="1" a="1"/>
  <c r="AB56" i="1" s="1"/>
  <c r="AG56" i="1" a="1"/>
  <c r="AG56" i="1" s="1"/>
  <c r="AH56" i="1" a="1"/>
  <c r="AH56" i="1"/>
  <c r="AJ56" i="1" a="1"/>
  <c r="AJ56" i="1" s="1"/>
  <c r="AK56" i="1" a="1"/>
  <c r="AK56" i="1"/>
  <c r="AL56" i="1" a="1"/>
  <c r="AL56" i="1" s="1"/>
  <c r="AM56" i="1" a="1"/>
  <c r="AM56" i="1" s="1"/>
  <c r="AN56" i="1" a="1"/>
  <c r="AN56" i="1" s="1"/>
  <c r="AO56" i="1" a="1"/>
  <c r="AO56" i="1" s="1"/>
  <c r="C57" i="1" a="1"/>
  <c r="C57" i="1" s="1"/>
  <c r="D57" i="1" a="1"/>
  <c r="D57" i="1" s="1"/>
  <c r="E57" i="1" a="1"/>
  <c r="E57" i="1"/>
  <c r="F57" i="1" a="1"/>
  <c r="F57" i="1" s="1"/>
  <c r="G57" i="1" a="1"/>
  <c r="G57" i="1" s="1"/>
  <c r="H57" i="1" a="1"/>
  <c r="H57" i="1" s="1"/>
  <c r="I57" i="1" a="1"/>
  <c r="I57" i="1" s="1"/>
  <c r="J57" i="1" a="1"/>
  <c r="J57" i="1" s="1"/>
  <c r="K57" i="1" a="1"/>
  <c r="K57" i="1" s="1"/>
  <c r="L57" i="1" a="1"/>
  <c r="L57" i="1" s="1"/>
  <c r="M57" i="1" a="1"/>
  <c r="M57" i="1" s="1"/>
  <c r="N57" i="1" a="1"/>
  <c r="N57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T57" i="1" a="1"/>
  <c r="T57" i="1" s="1"/>
  <c r="U57" i="1" a="1"/>
  <c r="U57" i="1" s="1"/>
  <c r="V57" i="1" a="1"/>
  <c r="V57" i="1" s="1"/>
  <c r="W57" i="1" a="1"/>
  <c r="W57" i="1" s="1"/>
  <c r="X57" i="1" a="1"/>
  <c r="X57" i="1" s="1"/>
  <c r="Y57" i="1" a="1"/>
  <c r="Y57" i="1"/>
  <c r="Z57" i="1" a="1"/>
  <c r="Z57" i="1" s="1"/>
  <c r="AA57" i="1" a="1"/>
  <c r="AA57" i="1" s="1"/>
  <c r="AB57" i="1" a="1"/>
  <c r="AB57" i="1" s="1"/>
  <c r="AG57" i="1" a="1"/>
  <c r="AG57" i="1" s="1"/>
  <c r="AH57" i="1" a="1"/>
  <c r="AH57" i="1" s="1"/>
  <c r="AJ57" i="1" a="1"/>
  <c r="AJ57" i="1" s="1"/>
  <c r="AK57" i="1" a="1"/>
  <c r="AK57" i="1" s="1"/>
  <c r="AL57" i="1" a="1"/>
  <c r="AL57" i="1" s="1"/>
  <c r="AM57" i="1" a="1"/>
  <c r="AM57" i="1" s="1"/>
  <c r="AN57" i="1" a="1"/>
  <c r="AN57" i="1" s="1"/>
  <c r="AO57" i="1" a="1"/>
  <c r="AO57" i="1" s="1"/>
  <c r="C58" i="1" a="1"/>
  <c r="C58" i="1" s="1"/>
  <c r="D58" i="1" a="1"/>
  <c r="D58" i="1" s="1"/>
  <c r="E58" i="1" a="1"/>
  <c r="E58" i="1" s="1"/>
  <c r="F58" i="1" a="1"/>
  <c r="F58" i="1" s="1"/>
  <c r="G58" i="1" a="1"/>
  <c r="G58" i="1" s="1"/>
  <c r="H58" i="1" a="1"/>
  <c r="H58" i="1" s="1"/>
  <c r="I58" i="1" a="1"/>
  <c r="I58" i="1" s="1"/>
  <c r="J58" i="1" a="1"/>
  <c r="J58" i="1" s="1"/>
  <c r="K58" i="1" a="1"/>
  <c r="K58" i="1" s="1"/>
  <c r="L58" i="1" a="1"/>
  <c r="L58" i="1" s="1"/>
  <c r="M58" i="1" a="1"/>
  <c r="M58" i="1" s="1"/>
  <c r="N58" i="1" a="1"/>
  <c r="N58" i="1" s="1"/>
  <c r="O58" i="1" a="1"/>
  <c r="O58" i="1" s="1"/>
  <c r="P58" i="1" a="1"/>
  <c r="P58" i="1" s="1"/>
  <c r="Q58" i="1" a="1"/>
  <c r="Q58" i="1" s="1"/>
  <c r="R58" i="1" a="1"/>
  <c r="R58" i="1" s="1"/>
  <c r="S58" i="1" a="1"/>
  <c r="S58" i="1" s="1"/>
  <c r="T58" i="1" a="1"/>
  <c r="T58" i="1" s="1"/>
  <c r="U58" i="1" a="1"/>
  <c r="U58" i="1" s="1"/>
  <c r="V58" i="1" a="1"/>
  <c r="V58" i="1" s="1"/>
  <c r="W58" i="1" a="1"/>
  <c r="W58" i="1" s="1"/>
  <c r="X58" i="1" a="1"/>
  <c r="X58" i="1" s="1"/>
  <c r="Y58" i="1" a="1"/>
  <c r="Y58" i="1"/>
  <c r="Z58" i="1" a="1"/>
  <c r="Z58" i="1"/>
  <c r="AA58" i="1" a="1"/>
  <c r="AA58" i="1" s="1"/>
  <c r="AB58" i="1" a="1"/>
  <c r="AB58" i="1" s="1"/>
  <c r="AG58" i="1" a="1"/>
  <c r="AG58" i="1" s="1"/>
  <c r="AH58" i="1" a="1"/>
  <c r="AH58" i="1"/>
  <c r="AJ58" i="1" a="1"/>
  <c r="AJ58" i="1" s="1"/>
  <c r="AK58" i="1" a="1"/>
  <c r="AK58" i="1" s="1"/>
  <c r="AL58" i="1" a="1"/>
  <c r="AL58" i="1" s="1"/>
  <c r="AM58" i="1" a="1"/>
  <c r="AM58" i="1" s="1"/>
  <c r="AN58" i="1" a="1"/>
  <c r="AN58" i="1" s="1"/>
  <c r="AO58" i="1" a="1"/>
  <c r="AO58" i="1" s="1"/>
  <c r="C59" i="1" a="1"/>
  <c r="C59" i="1" s="1"/>
  <c r="D59" i="1" a="1"/>
  <c r="D59" i="1" s="1"/>
  <c r="E59" i="1" a="1"/>
  <c r="E59" i="1" s="1"/>
  <c r="F59" i="1" a="1"/>
  <c r="F59" i="1" s="1"/>
  <c r="G59" i="1" a="1"/>
  <c r="G59" i="1" s="1"/>
  <c r="H59" i="1" a="1"/>
  <c r="H59" i="1" s="1"/>
  <c r="I59" i="1" a="1"/>
  <c r="I59" i="1" s="1"/>
  <c r="J59" i="1" a="1"/>
  <c r="J59" i="1" s="1"/>
  <c r="K59" i="1" a="1"/>
  <c r="K59" i="1" s="1"/>
  <c r="L59" i="1" a="1"/>
  <c r="L59" i="1" s="1"/>
  <c r="M59" i="1" a="1"/>
  <c r="M59" i="1" s="1"/>
  <c r="N59" i="1" a="1"/>
  <c r="N59" i="1" s="1"/>
  <c r="O59" i="1" a="1"/>
  <c r="O59" i="1" s="1"/>
  <c r="P59" i="1" a="1"/>
  <c r="P59" i="1" s="1"/>
  <c r="Q59" i="1" a="1"/>
  <c r="Q59" i="1" s="1"/>
  <c r="R59" i="1" a="1"/>
  <c r="R59" i="1" s="1"/>
  <c r="S59" i="1" a="1"/>
  <c r="S59" i="1" s="1"/>
  <c r="T59" i="1" a="1"/>
  <c r="T59" i="1" s="1"/>
  <c r="U59" i="1" a="1"/>
  <c r="U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AA59" i="1" a="1"/>
  <c r="AA59" i="1" s="1"/>
  <c r="AB59" i="1" a="1"/>
  <c r="AB59" i="1" s="1"/>
  <c r="AG59" i="1" a="1"/>
  <c r="AG59" i="1" s="1"/>
  <c r="AH59" i="1" a="1"/>
  <c r="AH59" i="1" s="1"/>
  <c r="AJ59" i="1" a="1"/>
  <c r="AJ59" i="1" s="1"/>
  <c r="AK59" i="1" a="1"/>
  <c r="AK59" i="1" s="1"/>
  <c r="AL59" i="1" a="1"/>
  <c r="AL59" i="1" s="1"/>
  <c r="AM59" i="1" a="1"/>
  <c r="AM59" i="1" s="1"/>
  <c r="AN59" i="1" a="1"/>
  <c r="AN59" i="1" s="1"/>
  <c r="AO59" i="1" a="1"/>
  <c r="AO59" i="1" s="1"/>
  <c r="C60" i="1" a="1"/>
  <c r="C60" i="1" s="1"/>
  <c r="D60" i="1" a="1"/>
  <c r="D60" i="1" s="1"/>
  <c r="E60" i="1" a="1"/>
  <c r="E60" i="1" s="1"/>
  <c r="F60" i="1" a="1"/>
  <c r="F60" i="1" s="1"/>
  <c r="G60" i="1" a="1"/>
  <c r="G60" i="1" s="1"/>
  <c r="H60" i="1" a="1"/>
  <c r="H60" i="1" s="1"/>
  <c r="I60" i="1" a="1"/>
  <c r="I60" i="1" s="1"/>
  <c r="J60" i="1" a="1"/>
  <c r="J60" i="1" s="1"/>
  <c r="K60" i="1" a="1"/>
  <c r="K60" i="1" s="1"/>
  <c r="L60" i="1" a="1"/>
  <c r="L60" i="1" s="1"/>
  <c r="M60" i="1" a="1"/>
  <c r="M60" i="1" s="1"/>
  <c r="N60" i="1" a="1"/>
  <c r="N60" i="1" s="1"/>
  <c r="O60" i="1" a="1"/>
  <c r="O60" i="1" s="1"/>
  <c r="P60" i="1" a="1"/>
  <c r="P60" i="1" s="1"/>
  <c r="Q60" i="1" a="1"/>
  <c r="Q60" i="1" s="1"/>
  <c r="R60" i="1" a="1"/>
  <c r="R60" i="1" s="1"/>
  <c r="S60" i="1" a="1"/>
  <c r="S60" i="1" s="1"/>
  <c r="T60" i="1" a="1"/>
  <c r="T60" i="1" s="1"/>
  <c r="U60" i="1" a="1"/>
  <c r="U60" i="1" s="1"/>
  <c r="V60" i="1" a="1"/>
  <c r="V60" i="1" s="1"/>
  <c r="W60" i="1" a="1"/>
  <c r="W60" i="1" s="1"/>
  <c r="X60" i="1" a="1"/>
  <c r="X60" i="1" s="1"/>
  <c r="Y60" i="1" a="1"/>
  <c r="Y60" i="1"/>
  <c r="Z60" i="1" a="1"/>
  <c r="Z60" i="1"/>
  <c r="AA60" i="1" a="1"/>
  <c r="AA60" i="1" s="1"/>
  <c r="AB60" i="1" a="1"/>
  <c r="AB60" i="1" s="1"/>
  <c r="AG60" i="1" a="1"/>
  <c r="AG60" i="1" s="1"/>
  <c r="AH60" i="1" a="1"/>
  <c r="AH60" i="1" s="1"/>
  <c r="AJ60" i="1" a="1"/>
  <c r="AJ60" i="1" s="1"/>
  <c r="AK60" i="1" a="1"/>
  <c r="AK60" i="1" s="1"/>
  <c r="AL60" i="1" a="1"/>
  <c r="AL60" i="1" s="1"/>
  <c r="AM60" i="1" a="1"/>
  <c r="AM60" i="1" s="1"/>
  <c r="AN60" i="1" a="1"/>
  <c r="AN60" i="1" s="1"/>
  <c r="AO60" i="1" a="1"/>
  <c r="AO60" i="1" s="1"/>
  <c r="C61" i="1" a="1"/>
  <c r="C61" i="1" s="1"/>
  <c r="D61" i="1" a="1"/>
  <c r="D61" i="1" s="1"/>
  <c r="E61" i="1" a="1"/>
  <c r="E61" i="1" s="1"/>
  <c r="F61" i="1" a="1"/>
  <c r="F61" i="1" s="1"/>
  <c r="G61" i="1" a="1"/>
  <c r="G61" i="1" s="1"/>
  <c r="H61" i="1" a="1"/>
  <c r="H61" i="1" s="1"/>
  <c r="I61" i="1" a="1"/>
  <c r="I61" i="1" s="1"/>
  <c r="J61" i="1" a="1"/>
  <c r="J61" i="1" s="1"/>
  <c r="K61" i="1" a="1"/>
  <c r="K61" i="1" s="1"/>
  <c r="L61" i="1" a="1"/>
  <c r="L61" i="1" s="1"/>
  <c r="M61" i="1" a="1"/>
  <c r="M61" i="1" s="1"/>
  <c r="N61" i="1" a="1"/>
  <c r="N61" i="1" s="1"/>
  <c r="O61" i="1" a="1"/>
  <c r="O61" i="1" s="1"/>
  <c r="P61" i="1" a="1"/>
  <c r="P61" i="1" s="1"/>
  <c r="Q61" i="1" a="1"/>
  <c r="Q61" i="1" s="1"/>
  <c r="R61" i="1" a="1"/>
  <c r="R61" i="1" s="1"/>
  <c r="S61" i="1" a="1"/>
  <c r="S61" i="1" s="1"/>
  <c r="T61" i="1" a="1"/>
  <c r="T61" i="1" s="1"/>
  <c r="U61" i="1" a="1"/>
  <c r="U61" i="1" s="1"/>
  <c r="V61" i="1" a="1"/>
  <c r="V61" i="1" s="1"/>
  <c r="W61" i="1" a="1"/>
  <c r="W61" i="1" s="1"/>
  <c r="X61" i="1" a="1"/>
  <c r="X61" i="1" s="1"/>
  <c r="Y61" i="1" a="1"/>
  <c r="Y61" i="1" s="1"/>
  <c r="Z61" i="1" a="1"/>
  <c r="Z61" i="1" s="1"/>
  <c r="AA61" i="1" a="1"/>
  <c r="AA61" i="1" s="1"/>
  <c r="AB61" i="1" a="1"/>
  <c r="AB61" i="1" s="1"/>
  <c r="AG61" i="1" a="1"/>
  <c r="AG61" i="1"/>
  <c r="AH61" i="1" a="1"/>
  <c r="AH61" i="1"/>
  <c r="AJ61" i="1" a="1"/>
  <c r="AJ61" i="1" s="1"/>
  <c r="AK61" i="1" a="1"/>
  <c r="AK61" i="1" s="1"/>
  <c r="AL61" i="1" a="1"/>
  <c r="AL61" i="1"/>
  <c r="AM61" i="1" a="1"/>
  <c r="AM61" i="1" s="1"/>
  <c r="AN61" i="1" a="1"/>
  <c r="AN61" i="1" s="1"/>
  <c r="AO61" i="1" a="1"/>
  <c r="AO61" i="1" s="1"/>
  <c r="C62" i="1" a="1"/>
  <c r="C62" i="1"/>
  <c r="D62" i="1" a="1"/>
  <c r="D62" i="1" s="1"/>
  <c r="E62" i="1" a="1"/>
  <c r="E62" i="1" s="1"/>
  <c r="F62" i="1" a="1"/>
  <c r="F62" i="1" s="1"/>
  <c r="G62" i="1" a="1"/>
  <c r="G62" i="1" s="1"/>
  <c r="H62" i="1" a="1"/>
  <c r="H62" i="1" s="1"/>
  <c r="I62" i="1" a="1"/>
  <c r="I62" i="1" s="1"/>
  <c r="J62" i="1" a="1"/>
  <c r="J62" i="1" s="1"/>
  <c r="K62" i="1" a="1"/>
  <c r="K62" i="1" s="1"/>
  <c r="L62" i="1" a="1"/>
  <c r="L62" i="1" s="1"/>
  <c r="M62" i="1" a="1"/>
  <c r="M62" i="1" s="1"/>
  <c r="N62" i="1" a="1"/>
  <c r="N62" i="1" s="1"/>
  <c r="O62" i="1" a="1"/>
  <c r="O62" i="1" s="1"/>
  <c r="P62" i="1" a="1"/>
  <c r="P62" i="1" s="1"/>
  <c r="Q62" i="1" a="1"/>
  <c r="Q62" i="1" s="1"/>
  <c r="R62" i="1" a="1"/>
  <c r="R62" i="1" s="1"/>
  <c r="S62" i="1" a="1"/>
  <c r="S62" i="1" s="1"/>
  <c r="T62" i="1" a="1"/>
  <c r="T62" i="1" s="1"/>
  <c r="U62" i="1" a="1"/>
  <c r="U62" i="1" s="1"/>
  <c r="V62" i="1" a="1"/>
  <c r="V62" i="1" s="1"/>
  <c r="W62" i="1" a="1"/>
  <c r="W62" i="1" s="1"/>
  <c r="X62" i="1" a="1"/>
  <c r="X62" i="1" s="1"/>
  <c r="Y62" i="1" a="1"/>
  <c r="Y62" i="1" s="1"/>
  <c r="Z62" i="1" a="1"/>
  <c r="Z62" i="1" s="1"/>
  <c r="AA62" i="1" a="1"/>
  <c r="AA62" i="1" s="1"/>
  <c r="AB62" i="1" a="1"/>
  <c r="AB62" i="1" s="1"/>
  <c r="AG62" i="1" a="1"/>
  <c r="AG62" i="1" s="1"/>
  <c r="AH62" i="1" a="1"/>
  <c r="AH62" i="1" s="1"/>
  <c r="AJ62" i="1" a="1"/>
  <c r="AJ62" i="1" s="1"/>
  <c r="AK62" i="1" a="1"/>
  <c r="AK62" i="1" s="1"/>
  <c r="AL62" i="1" a="1"/>
  <c r="AL62" i="1"/>
  <c r="AM62" i="1" a="1"/>
  <c r="AM62" i="1" s="1"/>
  <c r="AN62" i="1" a="1"/>
  <c r="AN62" i="1" s="1"/>
  <c r="AO62" i="1" a="1"/>
  <c r="AO62" i="1" s="1"/>
  <c r="C63" i="1" a="1"/>
  <c r="C63" i="1" s="1"/>
  <c r="D63" i="1" a="1"/>
  <c r="D63" i="1" s="1"/>
  <c r="E63" i="1" a="1"/>
  <c r="E63" i="1"/>
  <c r="F63" i="1" a="1"/>
  <c r="F63" i="1" s="1"/>
  <c r="G63" i="1" a="1"/>
  <c r="G63" i="1" s="1"/>
  <c r="H63" i="1" a="1"/>
  <c r="H63" i="1" s="1"/>
  <c r="I63" i="1" a="1"/>
  <c r="I63" i="1" s="1"/>
  <c r="J63" i="1" a="1"/>
  <c r="J63" i="1" s="1"/>
  <c r="K63" i="1" a="1"/>
  <c r="K63" i="1" s="1"/>
  <c r="L63" i="1" a="1"/>
  <c r="L63" i="1" s="1"/>
  <c r="M63" i="1" a="1"/>
  <c r="M63" i="1" s="1"/>
  <c r="N63" i="1" a="1"/>
  <c r="N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T63" i="1" a="1"/>
  <c r="T63" i="1" s="1"/>
  <c r="U63" i="1" a="1"/>
  <c r="U63" i="1" s="1"/>
  <c r="V63" i="1" a="1"/>
  <c r="V63" i="1" s="1"/>
  <c r="W63" i="1" a="1"/>
  <c r="W63" i="1" s="1"/>
  <c r="X63" i="1" a="1"/>
  <c r="X63" i="1" s="1"/>
  <c r="Y63" i="1" a="1"/>
  <c r="Y63" i="1"/>
  <c r="Z63" i="1" a="1"/>
  <c r="Z63" i="1"/>
  <c r="AA63" i="1" a="1"/>
  <c r="AA63" i="1" s="1"/>
  <c r="AB63" i="1" a="1"/>
  <c r="AB63" i="1" s="1"/>
  <c r="AG63" i="1" a="1"/>
  <c r="AG63" i="1" s="1"/>
  <c r="AH63" i="1" a="1"/>
  <c r="AH63" i="1"/>
  <c r="AJ63" i="1" a="1"/>
  <c r="AJ63" i="1" s="1"/>
  <c r="AK63" i="1" a="1"/>
  <c r="AK63" i="1" s="1"/>
  <c r="AL63" i="1" a="1"/>
  <c r="AL63" i="1" s="1"/>
  <c r="AM63" i="1" a="1"/>
  <c r="AM63" i="1" s="1"/>
  <c r="AN63" i="1" a="1"/>
  <c r="AN63" i="1" s="1"/>
  <c r="AO63" i="1" a="1"/>
  <c r="AO63" i="1" s="1"/>
  <c r="C64" i="1" a="1"/>
  <c r="C64" i="1" s="1"/>
  <c r="D64" i="1" a="1"/>
  <c r="D64" i="1" s="1"/>
  <c r="E64" i="1" a="1"/>
  <c r="E64" i="1"/>
  <c r="F64" i="1" a="1"/>
  <c r="F64" i="1"/>
  <c r="G64" i="1" a="1"/>
  <c r="G64" i="1" s="1"/>
  <c r="H64" i="1" a="1"/>
  <c r="H64" i="1" s="1"/>
  <c r="I64" i="1" a="1"/>
  <c r="I64" i="1" s="1"/>
  <c r="J64" i="1" a="1"/>
  <c r="J64" i="1" s="1"/>
  <c r="K64" i="1" a="1"/>
  <c r="K64" i="1" s="1"/>
  <c r="L64" i="1" a="1"/>
  <c r="L64" i="1" s="1"/>
  <c r="M64" i="1" a="1"/>
  <c r="M64" i="1" s="1"/>
  <c r="N64" i="1" a="1"/>
  <c r="N64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AA64" i="1" a="1"/>
  <c r="AA64" i="1" s="1"/>
  <c r="AB64" i="1" a="1"/>
  <c r="AB64" i="1" s="1"/>
  <c r="AG64" i="1" a="1"/>
  <c r="AG64" i="1"/>
  <c r="AH64" i="1" a="1"/>
  <c r="AH64" i="1"/>
  <c r="AJ64" i="1" a="1"/>
  <c r="AJ64" i="1" s="1"/>
  <c r="AK64" i="1" a="1"/>
  <c r="AK64" i="1" s="1"/>
  <c r="AL64" i="1" a="1"/>
  <c r="AL64" i="1"/>
  <c r="AM64" i="1" a="1"/>
  <c r="AM64" i="1" s="1"/>
  <c r="AN64" i="1" a="1"/>
  <c r="AN64" i="1" s="1"/>
  <c r="AO64" i="1" a="1"/>
  <c r="AO64" i="1" s="1"/>
  <c r="C65" i="1" a="1"/>
  <c r="C65" i="1" s="1"/>
  <c r="D65" i="1" a="1"/>
  <c r="D65" i="1" s="1"/>
  <c r="E65" i="1" a="1"/>
  <c r="E65" i="1" s="1"/>
  <c r="F65" i="1" a="1"/>
  <c r="F65" i="1" s="1"/>
  <c r="G65" i="1" a="1"/>
  <c r="G65" i="1" s="1"/>
  <c r="H65" i="1" a="1"/>
  <c r="H65" i="1" s="1"/>
  <c r="I65" i="1" a="1"/>
  <c r="I65" i="1" s="1"/>
  <c r="J65" i="1" a="1"/>
  <c r="J65" i="1" s="1"/>
  <c r="K65" i="1" a="1"/>
  <c r="K65" i="1" s="1"/>
  <c r="L65" i="1" a="1"/>
  <c r="L65" i="1" s="1"/>
  <c r="M65" i="1" a="1"/>
  <c r="M65" i="1" s="1"/>
  <c r="N65" i="1" a="1"/>
  <c r="N65" i="1" s="1"/>
  <c r="O65" i="1" a="1"/>
  <c r="O65" i="1" s="1"/>
  <c r="P65" i="1" a="1"/>
  <c r="P65" i="1" s="1"/>
  <c r="Q65" i="1" a="1"/>
  <c r="Q65" i="1" s="1"/>
  <c r="R65" i="1" a="1"/>
  <c r="R65" i="1" s="1"/>
  <c r="S65" i="1" a="1"/>
  <c r="S65" i="1" s="1"/>
  <c r="T65" i="1" a="1"/>
  <c r="T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Z65" i="1" a="1"/>
  <c r="Z65" i="1" s="1"/>
  <c r="AA65" i="1" a="1"/>
  <c r="AA65" i="1" s="1"/>
  <c r="AB65" i="1" a="1"/>
  <c r="AB65" i="1" s="1"/>
  <c r="AG65" i="1" a="1"/>
  <c r="AG65" i="1" s="1"/>
  <c r="AH65" i="1" a="1"/>
  <c r="AH65" i="1" s="1"/>
  <c r="AJ65" i="1" a="1"/>
  <c r="AJ65" i="1" s="1"/>
  <c r="AK65" i="1" a="1"/>
  <c r="AK65" i="1" s="1"/>
  <c r="AL65" i="1" a="1"/>
  <c r="AL65" i="1" s="1"/>
  <c r="AM65" i="1" a="1"/>
  <c r="AM65" i="1" s="1"/>
  <c r="AN65" i="1" a="1"/>
  <c r="AN65" i="1" s="1"/>
  <c r="AO65" i="1" a="1"/>
  <c r="AO65" i="1" s="1"/>
  <c r="C66" i="1" a="1"/>
  <c r="C66" i="1" s="1"/>
  <c r="D66" i="1" a="1"/>
  <c r="D66" i="1" s="1"/>
  <c r="E66" i="1" a="1"/>
  <c r="E66" i="1" s="1"/>
  <c r="F66" i="1" a="1"/>
  <c r="F66" i="1" s="1"/>
  <c r="G66" i="1" a="1"/>
  <c r="G66" i="1" s="1"/>
  <c r="H66" i="1" a="1"/>
  <c r="H66" i="1" s="1"/>
  <c r="I66" i="1" a="1"/>
  <c r="I66" i="1" s="1"/>
  <c r="J66" i="1" a="1"/>
  <c r="J66" i="1" s="1"/>
  <c r="K66" i="1" a="1"/>
  <c r="K66" i="1" s="1"/>
  <c r="L66" i="1" a="1"/>
  <c r="L66" i="1" s="1"/>
  <c r="M66" i="1" a="1"/>
  <c r="M66" i="1" s="1"/>
  <c r="N66" i="1" a="1"/>
  <c r="N66" i="1" s="1"/>
  <c r="O66" i="1" a="1"/>
  <c r="O66" i="1" s="1"/>
  <c r="P66" i="1" a="1"/>
  <c r="P66" i="1" s="1"/>
  <c r="Q66" i="1" a="1"/>
  <c r="Q66" i="1" s="1"/>
  <c r="R66" i="1" a="1"/>
  <c r="R66" i="1" s="1"/>
  <c r="S66" i="1" a="1"/>
  <c r="S66" i="1" s="1"/>
  <c r="T66" i="1" a="1"/>
  <c r="T66" i="1" s="1"/>
  <c r="U66" i="1" a="1"/>
  <c r="U66" i="1" s="1"/>
  <c r="V66" i="1" a="1"/>
  <c r="V66" i="1" s="1"/>
  <c r="W66" i="1" a="1"/>
  <c r="W66" i="1" s="1"/>
  <c r="X66" i="1" a="1"/>
  <c r="X66" i="1" s="1"/>
  <c r="Y66" i="1" a="1"/>
  <c r="Y66" i="1"/>
  <c r="Z66" i="1" a="1"/>
  <c r="Z66" i="1"/>
  <c r="AA66" i="1" a="1"/>
  <c r="AA66" i="1" s="1"/>
  <c r="AB66" i="1" a="1"/>
  <c r="AB66" i="1" s="1"/>
  <c r="AG66" i="1" a="1"/>
  <c r="AG66" i="1" s="1"/>
  <c r="AH66" i="1" a="1"/>
  <c r="AH66" i="1" s="1"/>
  <c r="AJ66" i="1" a="1"/>
  <c r="AJ66" i="1" s="1"/>
  <c r="AK66" i="1" a="1"/>
  <c r="AK66" i="1" s="1"/>
  <c r="AL66" i="1" a="1"/>
  <c r="AL66" i="1" s="1"/>
  <c r="AM66" i="1" a="1"/>
  <c r="AM66" i="1" s="1"/>
  <c r="AN66" i="1" a="1"/>
  <c r="AN66" i="1" s="1"/>
  <c r="AO66" i="1" a="1"/>
  <c r="AO66" i="1" s="1"/>
  <c r="C67" i="1" a="1"/>
  <c r="C67" i="1" s="1"/>
  <c r="D67" i="1" a="1"/>
  <c r="D67" i="1" s="1"/>
  <c r="E67" i="1" a="1"/>
  <c r="E67" i="1" s="1"/>
  <c r="F67" i="1" a="1"/>
  <c r="F67" i="1" s="1"/>
  <c r="G67" i="1" a="1"/>
  <c r="G67" i="1" s="1"/>
  <c r="H67" i="1" a="1"/>
  <c r="H67" i="1" s="1"/>
  <c r="I67" i="1" a="1"/>
  <c r="I67" i="1" s="1"/>
  <c r="J67" i="1" a="1"/>
  <c r="J67" i="1" s="1"/>
  <c r="K67" i="1" a="1"/>
  <c r="K67" i="1" s="1"/>
  <c r="L67" i="1" a="1"/>
  <c r="L67" i="1" s="1"/>
  <c r="M67" i="1" a="1"/>
  <c r="M67" i="1" s="1"/>
  <c r="N67" i="1" a="1"/>
  <c r="N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U67" i="1" a="1"/>
  <c r="U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AA67" i="1" a="1"/>
  <c r="AA67" i="1" s="1"/>
  <c r="AB67" i="1" a="1"/>
  <c r="AB67" i="1" s="1"/>
  <c r="AG67" i="1" a="1"/>
  <c r="AG67" i="1"/>
  <c r="AH67" i="1" a="1"/>
  <c r="AH67" i="1"/>
  <c r="AJ67" i="1" a="1"/>
  <c r="AJ67" i="1" s="1"/>
  <c r="AK67" i="1" a="1"/>
  <c r="AK67" i="1" s="1"/>
  <c r="AL67" i="1" a="1"/>
  <c r="AL67" i="1"/>
  <c r="AM67" i="1" a="1"/>
  <c r="AM67" i="1" s="1"/>
  <c r="AN67" i="1" a="1"/>
  <c r="AN67" i="1" s="1"/>
  <c r="AO67" i="1" a="1"/>
  <c r="AO67" i="1" s="1"/>
  <c r="C68" i="1" a="1"/>
  <c r="C68" i="1" s="1"/>
  <c r="D68" i="1" a="1"/>
  <c r="D68" i="1" s="1"/>
  <c r="E68" i="1" a="1"/>
  <c r="E68" i="1" s="1"/>
  <c r="F68" i="1" a="1"/>
  <c r="F68" i="1" s="1"/>
  <c r="G68" i="1" a="1"/>
  <c r="G68" i="1" s="1"/>
  <c r="H68" i="1" a="1"/>
  <c r="H68" i="1" s="1"/>
  <c r="I68" i="1" a="1"/>
  <c r="I68" i="1" s="1"/>
  <c r="J68" i="1" a="1"/>
  <c r="J68" i="1" s="1"/>
  <c r="K68" i="1" a="1"/>
  <c r="K68" i="1" s="1"/>
  <c r="L68" i="1" a="1"/>
  <c r="L68" i="1" s="1"/>
  <c r="M68" i="1" a="1"/>
  <c r="M68" i="1" s="1"/>
  <c r="N68" i="1" a="1"/>
  <c r="N68" i="1" s="1"/>
  <c r="O68" i="1" a="1"/>
  <c r="O68" i="1" s="1"/>
  <c r="P68" i="1" a="1"/>
  <c r="P68" i="1" s="1"/>
  <c r="Q68" i="1" a="1"/>
  <c r="Q68" i="1" s="1"/>
  <c r="R68" i="1" a="1"/>
  <c r="R68" i="1" s="1"/>
  <c r="S68" i="1" a="1"/>
  <c r="S68" i="1" s="1"/>
  <c r="T68" i="1" a="1"/>
  <c r="T68" i="1" s="1"/>
  <c r="U68" i="1" a="1"/>
  <c r="U68" i="1" s="1"/>
  <c r="V68" i="1" a="1"/>
  <c r="V68" i="1" s="1"/>
  <c r="W68" i="1" a="1"/>
  <c r="W68" i="1" s="1"/>
  <c r="X68" i="1" a="1"/>
  <c r="X68" i="1" s="1"/>
  <c r="Y68" i="1" a="1"/>
  <c r="Y68" i="1" s="1"/>
  <c r="Z68" i="1" a="1"/>
  <c r="Z68" i="1" s="1"/>
  <c r="AA68" i="1" a="1"/>
  <c r="AA68" i="1" s="1"/>
  <c r="AB68" i="1" a="1"/>
  <c r="AB68" i="1" s="1"/>
  <c r="AG68" i="1" a="1"/>
  <c r="AG68" i="1" s="1"/>
  <c r="AH68" i="1" a="1"/>
  <c r="AH68" i="1"/>
  <c r="AJ68" i="1" a="1"/>
  <c r="AJ68" i="1" s="1"/>
  <c r="AK68" i="1" a="1"/>
  <c r="AK68" i="1" s="1"/>
  <c r="AL68" i="1" a="1"/>
  <c r="AL68" i="1"/>
  <c r="AM68" i="1" a="1"/>
  <c r="AM68" i="1" s="1"/>
  <c r="AN68" i="1" a="1"/>
  <c r="AN68" i="1" s="1"/>
  <c r="AO68" i="1" a="1"/>
  <c r="AO68" i="1" s="1"/>
  <c r="C69" i="1" a="1"/>
  <c r="C69" i="1" s="1"/>
  <c r="D69" i="1" a="1"/>
  <c r="D69" i="1" s="1"/>
  <c r="E69" i="1" a="1"/>
  <c r="E69" i="1" s="1"/>
  <c r="F69" i="1" a="1"/>
  <c r="F69" i="1" s="1"/>
  <c r="G69" i="1" a="1"/>
  <c r="G69" i="1" s="1"/>
  <c r="H69" i="1" a="1"/>
  <c r="H69" i="1" s="1"/>
  <c r="I69" i="1" a="1"/>
  <c r="I69" i="1" s="1"/>
  <c r="J69" i="1" a="1"/>
  <c r="J69" i="1" s="1"/>
  <c r="K69" i="1" a="1"/>
  <c r="K69" i="1" s="1"/>
  <c r="L69" i="1" a="1"/>
  <c r="L69" i="1" s="1"/>
  <c r="M69" i="1" a="1"/>
  <c r="M69" i="1" s="1"/>
  <c r="N69" i="1" a="1"/>
  <c r="N69" i="1" s="1"/>
  <c r="O69" i="1" a="1"/>
  <c r="O69" i="1" s="1"/>
  <c r="P69" i="1" a="1"/>
  <c r="P69" i="1" s="1"/>
  <c r="Q69" i="1" a="1"/>
  <c r="Q69" i="1" s="1"/>
  <c r="R69" i="1" a="1"/>
  <c r="R69" i="1" s="1"/>
  <c r="S69" i="1" a="1"/>
  <c r="S69" i="1" s="1"/>
  <c r="T69" i="1" a="1"/>
  <c r="T69" i="1" s="1"/>
  <c r="U69" i="1" a="1"/>
  <c r="U69" i="1" s="1"/>
  <c r="V69" i="1" a="1"/>
  <c r="V69" i="1" s="1"/>
  <c r="W69" i="1" a="1"/>
  <c r="W69" i="1" s="1"/>
  <c r="X69" i="1" a="1"/>
  <c r="X69" i="1" s="1"/>
  <c r="Y69" i="1" a="1"/>
  <c r="Y69" i="1" s="1"/>
  <c r="Z69" i="1" a="1"/>
  <c r="Z69" i="1"/>
  <c r="AA69" i="1" a="1"/>
  <c r="AA69" i="1" s="1"/>
  <c r="AB69" i="1" a="1"/>
  <c r="AB69" i="1" s="1"/>
  <c r="AG69" i="1" a="1"/>
  <c r="AG69" i="1" s="1"/>
  <c r="AH69" i="1" a="1"/>
  <c r="AH69" i="1" s="1"/>
  <c r="AJ69" i="1" a="1"/>
  <c r="AJ69" i="1" s="1"/>
  <c r="AK69" i="1" a="1"/>
  <c r="AK69" i="1" s="1"/>
  <c r="AL69" i="1" a="1"/>
  <c r="AL69" i="1"/>
  <c r="AM69" i="1" a="1"/>
  <c r="AM69" i="1" s="1"/>
  <c r="AN69" i="1" a="1"/>
  <c r="AN69" i="1" s="1"/>
  <c r="AO69" i="1" a="1"/>
  <c r="AO69" i="1" s="1"/>
  <c r="C70" i="1" a="1"/>
  <c r="C70" i="1" s="1"/>
  <c r="D70" i="1" a="1"/>
  <c r="D70" i="1" s="1"/>
  <c r="E70" i="1" a="1"/>
  <c r="E70" i="1" s="1"/>
  <c r="F70" i="1" a="1"/>
  <c r="F70" i="1" s="1"/>
  <c r="G70" i="1" a="1"/>
  <c r="G70" i="1" s="1"/>
  <c r="H70" i="1" a="1"/>
  <c r="H70" i="1" s="1"/>
  <c r="I70" i="1" a="1"/>
  <c r="I70" i="1" s="1"/>
  <c r="J70" i="1" a="1"/>
  <c r="J70" i="1" s="1"/>
  <c r="K70" i="1" a="1"/>
  <c r="K70" i="1" s="1"/>
  <c r="L70" i="1" a="1"/>
  <c r="L70" i="1" s="1"/>
  <c r="M70" i="1" a="1"/>
  <c r="M70" i="1" s="1"/>
  <c r="N70" i="1" a="1"/>
  <c r="N70" i="1" s="1"/>
  <c r="O70" i="1" a="1"/>
  <c r="O70" i="1" s="1"/>
  <c r="P70" i="1" a="1"/>
  <c r="P70" i="1" s="1"/>
  <c r="Q70" i="1" a="1"/>
  <c r="Q70" i="1" s="1"/>
  <c r="R70" i="1" a="1"/>
  <c r="R70" i="1" s="1"/>
  <c r="S70" i="1" a="1"/>
  <c r="S70" i="1" s="1"/>
  <c r="T70" i="1" a="1"/>
  <c r="T70" i="1" s="1"/>
  <c r="U70" i="1" a="1"/>
  <c r="U70" i="1" s="1"/>
  <c r="V70" i="1" a="1"/>
  <c r="V70" i="1" s="1"/>
  <c r="W70" i="1" a="1"/>
  <c r="W70" i="1" s="1"/>
  <c r="X70" i="1" a="1"/>
  <c r="X70" i="1" s="1"/>
  <c r="Y70" i="1" a="1"/>
  <c r="Y70" i="1" s="1"/>
  <c r="Z70" i="1" a="1"/>
  <c r="Z70" i="1"/>
  <c r="AA70" i="1" a="1"/>
  <c r="AA70" i="1" s="1"/>
  <c r="AB70" i="1" a="1"/>
  <c r="AB70" i="1" s="1"/>
  <c r="AG70" i="1" a="1"/>
  <c r="AG70" i="1" s="1"/>
  <c r="AH70" i="1" a="1"/>
  <c r="AH70" i="1" s="1"/>
  <c r="AJ70" i="1" a="1"/>
  <c r="AJ70" i="1" s="1"/>
  <c r="AK70" i="1" a="1"/>
  <c r="AK70" i="1" s="1"/>
  <c r="AL70" i="1" a="1"/>
  <c r="AL70" i="1" s="1"/>
  <c r="AM70" i="1" a="1"/>
  <c r="AM70" i="1" s="1"/>
  <c r="AN70" i="1" a="1"/>
  <c r="AN70" i="1" s="1"/>
  <c r="AO70" i="1" a="1"/>
  <c r="AO70" i="1" s="1"/>
  <c r="C71" i="1" a="1"/>
  <c r="C71" i="1" s="1"/>
  <c r="D71" i="1" a="1"/>
  <c r="D71" i="1" s="1"/>
  <c r="E71" i="1" a="1"/>
  <c r="E71" i="1" s="1"/>
  <c r="F71" i="1" a="1"/>
  <c r="F71" i="1"/>
  <c r="G71" i="1" a="1"/>
  <c r="G71" i="1" s="1"/>
  <c r="H71" i="1" a="1"/>
  <c r="H71" i="1" s="1"/>
  <c r="I71" i="1" a="1"/>
  <c r="I71" i="1" s="1"/>
  <c r="J71" i="1" a="1"/>
  <c r="J71" i="1" s="1"/>
  <c r="K71" i="1" a="1"/>
  <c r="K71" i="1" s="1"/>
  <c r="L71" i="1" a="1"/>
  <c r="L71" i="1" s="1"/>
  <c r="M71" i="1" a="1"/>
  <c r="M71" i="1" s="1"/>
  <c r="N71" i="1" a="1"/>
  <c r="N71" i="1" s="1"/>
  <c r="O71" i="1" a="1"/>
  <c r="O71" i="1" s="1"/>
  <c r="P71" i="1" a="1"/>
  <c r="P71" i="1" s="1"/>
  <c r="Q71" i="1" a="1"/>
  <c r="Q71" i="1" s="1"/>
  <c r="R71" i="1" a="1"/>
  <c r="R71" i="1" s="1"/>
  <c r="S71" i="1" a="1"/>
  <c r="S71" i="1" s="1"/>
  <c r="T71" i="1" a="1"/>
  <c r="T71" i="1" s="1"/>
  <c r="U71" i="1" a="1"/>
  <c r="U71" i="1" s="1"/>
  <c r="V71" i="1" a="1"/>
  <c r="V71" i="1" s="1"/>
  <c r="W71" i="1" a="1"/>
  <c r="W71" i="1" s="1"/>
  <c r="X71" i="1" a="1"/>
  <c r="X71" i="1" s="1"/>
  <c r="Y71" i="1" a="1"/>
  <c r="Y71" i="1" s="1"/>
  <c r="Z71" i="1" a="1"/>
  <c r="Z71" i="1"/>
  <c r="AA71" i="1" a="1"/>
  <c r="AA71" i="1" s="1"/>
  <c r="AB71" i="1" a="1"/>
  <c r="AB71" i="1" s="1"/>
  <c r="AG71" i="1" a="1"/>
  <c r="AG71" i="1" s="1"/>
  <c r="AH71" i="1" a="1"/>
  <c r="AH71" i="1" s="1"/>
  <c r="AJ71" i="1" a="1"/>
  <c r="AJ71" i="1" s="1"/>
  <c r="AK71" i="1" a="1"/>
  <c r="AK71" i="1"/>
  <c r="AL71" i="1" a="1"/>
  <c r="AL71" i="1" s="1"/>
  <c r="AM71" i="1" a="1"/>
  <c r="AM71" i="1" s="1"/>
  <c r="AN71" i="1" a="1"/>
  <c r="AN71" i="1" s="1"/>
  <c r="AO71" i="1" a="1"/>
  <c r="AO71" i="1" s="1"/>
  <c r="C72" i="1" a="1"/>
  <c r="C72" i="1" s="1"/>
  <c r="D72" i="1" a="1"/>
  <c r="D72" i="1"/>
  <c r="E72" i="1" a="1"/>
  <c r="E72" i="1"/>
  <c r="F72" i="1" a="1"/>
  <c r="F72" i="1" s="1"/>
  <c r="G72" i="1" a="1"/>
  <c r="G72" i="1" s="1"/>
  <c r="H72" i="1" a="1"/>
  <c r="H72" i="1" s="1"/>
  <c r="I72" i="1" a="1"/>
  <c r="I72" i="1" s="1"/>
  <c r="J72" i="1" a="1"/>
  <c r="J72" i="1" s="1"/>
  <c r="K72" i="1" a="1"/>
  <c r="K72" i="1" s="1"/>
  <c r="L72" i="1" a="1"/>
  <c r="L72" i="1" s="1"/>
  <c r="M72" i="1" a="1"/>
  <c r="M72" i="1" s="1"/>
  <c r="N72" i="1" a="1"/>
  <c r="N72" i="1" s="1"/>
  <c r="O72" i="1" a="1"/>
  <c r="O72" i="1" s="1"/>
  <c r="P72" i="1" a="1"/>
  <c r="P72" i="1" s="1"/>
  <c r="Q72" i="1" a="1"/>
  <c r="Q72" i="1" s="1"/>
  <c r="R72" i="1" a="1"/>
  <c r="R72" i="1" s="1"/>
  <c r="S72" i="1" a="1"/>
  <c r="S72" i="1" s="1"/>
  <c r="T72" i="1" a="1"/>
  <c r="T72" i="1" s="1"/>
  <c r="U72" i="1" a="1"/>
  <c r="U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AA72" i="1" a="1"/>
  <c r="AA72" i="1" s="1"/>
  <c r="AB72" i="1" a="1"/>
  <c r="AB72" i="1" s="1"/>
  <c r="AG72" i="1" a="1"/>
  <c r="AG72" i="1" s="1"/>
  <c r="AH72" i="1" a="1"/>
  <c r="AH72" i="1" s="1"/>
  <c r="AJ72" i="1" a="1"/>
  <c r="AJ72" i="1" s="1"/>
  <c r="AK72" i="1" a="1"/>
  <c r="AK72" i="1" s="1"/>
  <c r="AL72" i="1" a="1"/>
  <c r="AL72" i="1" s="1"/>
  <c r="AM72" i="1" a="1"/>
  <c r="AM72" i="1" s="1"/>
  <c r="AN72" i="1" a="1"/>
  <c r="AN72" i="1" s="1"/>
  <c r="AO72" i="1" a="1"/>
  <c r="AO72" i="1" s="1"/>
  <c r="C73" i="1" a="1"/>
  <c r="C73" i="1" s="1"/>
  <c r="D73" i="1" a="1"/>
  <c r="D73" i="1" s="1"/>
  <c r="E73" i="1" a="1"/>
  <c r="E73" i="1" s="1"/>
  <c r="F73" i="1" a="1"/>
  <c r="F73" i="1" s="1"/>
  <c r="G73" i="1" a="1"/>
  <c r="G73" i="1" s="1"/>
  <c r="H73" i="1" a="1"/>
  <c r="H73" i="1" s="1"/>
  <c r="I73" i="1" a="1"/>
  <c r="I73" i="1" s="1"/>
  <c r="J73" i="1" a="1"/>
  <c r="J73" i="1" s="1"/>
  <c r="K73" i="1" a="1"/>
  <c r="K73" i="1" s="1"/>
  <c r="L73" i="1" a="1"/>
  <c r="L73" i="1" s="1"/>
  <c r="M73" i="1" a="1"/>
  <c r="M73" i="1" s="1"/>
  <c r="N73" i="1" a="1"/>
  <c r="N73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V73" i="1" a="1"/>
  <c r="V73" i="1" s="1"/>
  <c r="W73" i="1" a="1"/>
  <c r="W73" i="1" s="1"/>
  <c r="X73" i="1" a="1"/>
  <c r="X73" i="1" s="1"/>
  <c r="Y73" i="1" a="1"/>
  <c r="Y73" i="1" s="1"/>
  <c r="Z73" i="1" a="1"/>
  <c r="Z73" i="1"/>
  <c r="AA73" i="1" a="1"/>
  <c r="AA73" i="1" s="1"/>
  <c r="AB73" i="1" a="1"/>
  <c r="AB73" i="1" s="1"/>
  <c r="AG73" i="1" a="1"/>
  <c r="AG73" i="1" s="1"/>
  <c r="AH73" i="1" a="1"/>
  <c r="AH73" i="1" s="1"/>
  <c r="AJ73" i="1" a="1"/>
  <c r="AJ73" i="1" s="1"/>
  <c r="AK73" i="1" a="1"/>
  <c r="AK73" i="1" s="1"/>
  <c r="AL73" i="1" a="1"/>
  <c r="AL73" i="1" s="1"/>
  <c r="AM73" i="1" a="1"/>
  <c r="AM73" i="1" s="1"/>
  <c r="AN73" i="1" a="1"/>
  <c r="AN73" i="1" s="1"/>
  <c r="AO73" i="1" a="1"/>
  <c r="AO73" i="1" s="1"/>
  <c r="C74" i="1" a="1"/>
  <c r="C74" i="1" s="1"/>
  <c r="D74" i="1" a="1"/>
  <c r="D74" i="1" s="1"/>
  <c r="E74" i="1" a="1"/>
  <c r="E74" i="1" s="1"/>
  <c r="F74" i="1" a="1"/>
  <c r="F74" i="1" s="1"/>
  <c r="G74" i="1" a="1"/>
  <c r="G74" i="1" s="1"/>
  <c r="H74" i="1" a="1"/>
  <c r="H74" i="1" s="1"/>
  <c r="I74" i="1" a="1"/>
  <c r="I74" i="1" s="1"/>
  <c r="J74" i="1" a="1"/>
  <c r="J74" i="1" s="1"/>
  <c r="K74" i="1" a="1"/>
  <c r="K74" i="1" s="1"/>
  <c r="L74" i="1" a="1"/>
  <c r="L74" i="1" s="1"/>
  <c r="M74" i="1" a="1"/>
  <c r="M74" i="1" s="1"/>
  <c r="N74" i="1" a="1"/>
  <c r="N74" i="1" s="1"/>
  <c r="O74" i="1" a="1"/>
  <c r="O74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V74" i="1" a="1"/>
  <c r="V74" i="1" s="1"/>
  <c r="W74" i="1" a="1"/>
  <c r="W74" i="1" s="1"/>
  <c r="X74" i="1" a="1"/>
  <c r="X74" i="1" s="1"/>
  <c r="Y74" i="1" a="1"/>
  <c r="Y74" i="1" s="1"/>
  <c r="Z74" i="1" a="1"/>
  <c r="Z74" i="1"/>
  <c r="AA74" i="1" a="1"/>
  <c r="AA74" i="1" s="1"/>
  <c r="AB74" i="1" a="1"/>
  <c r="AB74" i="1" s="1"/>
  <c r="AG74" i="1" a="1"/>
  <c r="AG74" i="1" s="1"/>
  <c r="AH74" i="1" a="1"/>
  <c r="AH74" i="1" s="1"/>
  <c r="AJ74" i="1" a="1"/>
  <c r="AJ74" i="1" s="1"/>
  <c r="AK74" i="1" a="1"/>
  <c r="AK74" i="1"/>
  <c r="AL74" i="1" a="1"/>
  <c r="AL74" i="1" s="1"/>
  <c r="AM74" i="1" a="1"/>
  <c r="AM74" i="1" s="1"/>
  <c r="AN74" i="1" a="1"/>
  <c r="AN74" i="1" s="1"/>
  <c r="AO74" i="1" a="1"/>
  <c r="AO74" i="1" s="1"/>
  <c r="C75" i="1" a="1"/>
  <c r="C75" i="1" s="1"/>
  <c r="D75" i="1" a="1"/>
  <c r="D75" i="1" s="1"/>
  <c r="E75" i="1" a="1"/>
  <c r="E75" i="1" s="1"/>
  <c r="F75" i="1" a="1"/>
  <c r="F75" i="1" s="1"/>
  <c r="G75" i="1" a="1"/>
  <c r="G75" i="1" s="1"/>
  <c r="H75" i="1" a="1"/>
  <c r="H75" i="1" s="1"/>
  <c r="I75" i="1" a="1"/>
  <c r="I75" i="1" s="1"/>
  <c r="J75" i="1" a="1"/>
  <c r="J75" i="1" s="1"/>
  <c r="K75" i="1" a="1"/>
  <c r="K75" i="1" s="1"/>
  <c r="L75" i="1" a="1"/>
  <c r="L75" i="1" s="1"/>
  <c r="M75" i="1" a="1"/>
  <c r="M75" i="1" s="1"/>
  <c r="N75" i="1" a="1"/>
  <c r="N75" i="1" s="1"/>
  <c r="O75" i="1" a="1"/>
  <c r="O75" i="1" s="1"/>
  <c r="P75" i="1" a="1"/>
  <c r="P75" i="1" s="1"/>
  <c r="Q75" i="1" a="1"/>
  <c r="Q75" i="1" s="1"/>
  <c r="R75" i="1" a="1"/>
  <c r="R75" i="1" s="1"/>
  <c r="S75" i="1" a="1"/>
  <c r="S75" i="1" s="1"/>
  <c r="T75" i="1" a="1"/>
  <c r="T75" i="1" s="1"/>
  <c r="U75" i="1" a="1"/>
  <c r="U75" i="1" s="1"/>
  <c r="V75" i="1" a="1"/>
  <c r="V75" i="1" s="1"/>
  <c r="W75" i="1" a="1"/>
  <c r="W75" i="1" s="1"/>
  <c r="X75" i="1" a="1"/>
  <c r="X75" i="1" s="1"/>
  <c r="Y75" i="1" a="1"/>
  <c r="Y75" i="1"/>
  <c r="Z75" i="1" a="1"/>
  <c r="Z75" i="1" s="1"/>
  <c r="AA75" i="1" a="1"/>
  <c r="AA75" i="1" s="1"/>
  <c r="AB75" i="1" a="1"/>
  <c r="AB75" i="1" s="1"/>
  <c r="AG75" i="1" a="1"/>
  <c r="AG75" i="1" s="1"/>
  <c r="AH75" i="1" a="1"/>
  <c r="AH75" i="1" s="1"/>
  <c r="AJ75" i="1" a="1"/>
  <c r="AJ75" i="1" s="1"/>
  <c r="AK75" i="1" a="1"/>
  <c r="AK75" i="1" s="1"/>
  <c r="AL75" i="1" a="1"/>
  <c r="AL75" i="1" s="1"/>
  <c r="AM75" i="1" a="1"/>
  <c r="AM75" i="1" s="1"/>
  <c r="AN75" i="1" a="1"/>
  <c r="AN75" i="1" s="1"/>
  <c r="AO75" i="1" a="1"/>
  <c r="AO75" i="1" s="1"/>
  <c r="C76" i="1" a="1"/>
  <c r="C76" i="1" s="1"/>
  <c r="D76" i="1" a="1"/>
  <c r="D76" i="1"/>
  <c r="E76" i="1" a="1"/>
  <c r="E76" i="1" s="1"/>
  <c r="F76" i="1" a="1"/>
  <c r="F76" i="1" s="1"/>
  <c r="G76" i="1" a="1"/>
  <c r="G76" i="1" s="1"/>
  <c r="H76" i="1" a="1"/>
  <c r="H76" i="1" s="1"/>
  <c r="I76" i="1" a="1"/>
  <c r="I76" i="1" s="1"/>
  <c r="J76" i="1" a="1"/>
  <c r="J76" i="1" s="1"/>
  <c r="K76" i="1" a="1"/>
  <c r="K76" i="1" s="1"/>
  <c r="L76" i="1" a="1"/>
  <c r="L76" i="1" s="1"/>
  <c r="M76" i="1" a="1"/>
  <c r="M76" i="1" s="1"/>
  <c r="N76" i="1" a="1"/>
  <c r="N76" i="1" s="1"/>
  <c r="O76" i="1" a="1"/>
  <c r="O76" i="1" s="1"/>
  <c r="P76" i="1" a="1"/>
  <c r="P76" i="1" s="1"/>
  <c r="Q76" i="1" a="1"/>
  <c r="Q76" i="1" s="1"/>
  <c r="R76" i="1" a="1"/>
  <c r="R76" i="1" s="1"/>
  <c r="S76" i="1" a="1"/>
  <c r="S76" i="1" s="1"/>
  <c r="T76" i="1" a="1"/>
  <c r="T76" i="1" s="1"/>
  <c r="U76" i="1" a="1"/>
  <c r="U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AA76" i="1" a="1"/>
  <c r="AA76" i="1" s="1"/>
  <c r="AB76" i="1" a="1"/>
  <c r="AB76" i="1" s="1"/>
  <c r="AG76" i="1" a="1"/>
  <c r="AG76" i="1"/>
  <c r="AH76" i="1" a="1"/>
  <c r="AH76" i="1" s="1"/>
  <c r="AJ76" i="1" a="1"/>
  <c r="AJ76" i="1" s="1"/>
  <c r="AK76" i="1" a="1"/>
  <c r="AK76" i="1" s="1"/>
  <c r="AL76" i="1" a="1"/>
  <c r="AL76" i="1"/>
  <c r="AM76" i="1" a="1"/>
  <c r="AM76" i="1" s="1"/>
  <c r="AN76" i="1" a="1"/>
  <c r="AN76" i="1" s="1"/>
  <c r="AO76" i="1" a="1"/>
  <c r="AO76" i="1" s="1"/>
  <c r="C77" i="1" a="1"/>
  <c r="C77" i="1" s="1"/>
  <c r="D77" i="1" a="1"/>
  <c r="D77" i="1" s="1"/>
  <c r="E77" i="1" a="1"/>
  <c r="E77" i="1" s="1"/>
  <c r="F77" i="1" a="1"/>
  <c r="F77" i="1" s="1"/>
  <c r="G77" i="1" a="1"/>
  <c r="G77" i="1" s="1"/>
  <c r="H77" i="1" a="1"/>
  <c r="H77" i="1" s="1"/>
  <c r="I77" i="1" a="1"/>
  <c r="I77" i="1" s="1"/>
  <c r="J77" i="1" a="1"/>
  <c r="J77" i="1" s="1"/>
  <c r="K77" i="1" a="1"/>
  <c r="K77" i="1" s="1"/>
  <c r="L77" i="1" a="1"/>
  <c r="L77" i="1" s="1"/>
  <c r="M77" i="1" a="1"/>
  <c r="M77" i="1" s="1"/>
  <c r="N77" i="1" a="1"/>
  <c r="N77" i="1" s="1"/>
  <c r="O77" i="1" a="1"/>
  <c r="O77" i="1" s="1"/>
  <c r="P77" i="1" a="1"/>
  <c r="P77" i="1" s="1"/>
  <c r="Q77" i="1" a="1"/>
  <c r="Q77" i="1" s="1"/>
  <c r="R77" i="1" a="1"/>
  <c r="R77" i="1" s="1"/>
  <c r="S77" i="1" a="1"/>
  <c r="S77" i="1" s="1"/>
  <c r="T77" i="1" a="1"/>
  <c r="T77" i="1" s="1"/>
  <c r="U77" i="1" a="1"/>
  <c r="U77" i="1" s="1"/>
  <c r="V77" i="1" a="1"/>
  <c r="V77" i="1" s="1"/>
  <c r="W77" i="1" a="1"/>
  <c r="W77" i="1" s="1"/>
  <c r="X77" i="1" a="1"/>
  <c r="X77" i="1" s="1"/>
  <c r="Y77" i="1" a="1"/>
  <c r="Y77" i="1" s="1"/>
  <c r="Z77" i="1" a="1"/>
  <c r="Z77" i="1" s="1"/>
  <c r="AA77" i="1" a="1"/>
  <c r="AA77" i="1" s="1"/>
  <c r="AB77" i="1" a="1"/>
  <c r="AB77" i="1" s="1"/>
  <c r="AG77" i="1" a="1"/>
  <c r="AG77" i="1" s="1"/>
  <c r="AH77" i="1" a="1"/>
  <c r="AH77" i="1" s="1"/>
  <c r="AJ77" i="1" a="1"/>
  <c r="AJ77" i="1" s="1"/>
  <c r="AK77" i="1" a="1"/>
  <c r="AK77" i="1" s="1"/>
  <c r="AL77" i="1" a="1"/>
  <c r="AL77" i="1" s="1"/>
  <c r="AM77" i="1" a="1"/>
  <c r="AM77" i="1" s="1"/>
  <c r="AN77" i="1" a="1"/>
  <c r="AN77" i="1" s="1"/>
  <c r="AO77" i="1" a="1"/>
  <c r="AO77" i="1" s="1"/>
  <c r="C78" i="1" a="1"/>
  <c r="C78" i="1" s="1"/>
  <c r="D78" i="1" a="1"/>
  <c r="D78" i="1" s="1"/>
  <c r="E78" i="1" a="1"/>
  <c r="E78" i="1" s="1"/>
  <c r="F78" i="1" a="1"/>
  <c r="F78" i="1" s="1"/>
  <c r="G78" i="1" a="1"/>
  <c r="G78" i="1" s="1"/>
  <c r="H78" i="1" a="1"/>
  <c r="H78" i="1" s="1"/>
  <c r="I78" i="1" a="1"/>
  <c r="I78" i="1" s="1"/>
  <c r="J78" i="1" a="1"/>
  <c r="J78" i="1" s="1"/>
  <c r="K78" i="1" a="1"/>
  <c r="K78" i="1" s="1"/>
  <c r="L78" i="1" a="1"/>
  <c r="L78" i="1" s="1"/>
  <c r="M78" i="1" a="1"/>
  <c r="M78" i="1" s="1"/>
  <c r="N78" i="1" a="1"/>
  <c r="N78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AA78" i="1" a="1"/>
  <c r="AA78" i="1" s="1"/>
  <c r="AB78" i="1" a="1"/>
  <c r="AB78" i="1" s="1"/>
  <c r="AG78" i="1" a="1"/>
  <c r="AG78" i="1" s="1"/>
  <c r="AH78" i="1" a="1"/>
  <c r="AH78" i="1" s="1"/>
  <c r="AJ78" i="1" a="1"/>
  <c r="AJ78" i="1" s="1"/>
  <c r="AK78" i="1" a="1"/>
  <c r="AK78" i="1" s="1"/>
  <c r="AL78" i="1" a="1"/>
  <c r="AL78" i="1" s="1"/>
  <c r="AM78" i="1" a="1"/>
  <c r="AM78" i="1" s="1"/>
  <c r="AN78" i="1" a="1"/>
  <c r="AN78" i="1" s="1"/>
  <c r="AO78" i="1" a="1"/>
  <c r="AO78" i="1" s="1"/>
  <c r="C79" i="1" a="1"/>
  <c r="C79" i="1" s="1"/>
  <c r="D79" i="1" a="1"/>
  <c r="D79" i="1"/>
  <c r="E79" i="1" a="1"/>
  <c r="E79" i="1" s="1"/>
  <c r="F79" i="1" a="1"/>
  <c r="F79" i="1" s="1"/>
  <c r="G79" i="1" a="1"/>
  <c r="G79" i="1" s="1"/>
  <c r="H79" i="1" a="1"/>
  <c r="H79" i="1" s="1"/>
  <c r="I79" i="1" a="1"/>
  <c r="I79" i="1" s="1"/>
  <c r="J79" i="1" a="1"/>
  <c r="J79" i="1" s="1"/>
  <c r="K79" i="1" a="1"/>
  <c r="K79" i="1" s="1"/>
  <c r="L79" i="1" a="1"/>
  <c r="L79" i="1" s="1"/>
  <c r="M79" i="1" a="1"/>
  <c r="M79" i="1" s="1"/>
  <c r="N79" i="1" a="1"/>
  <c r="N79" i="1" s="1"/>
  <c r="O79" i="1" a="1"/>
  <c r="O79" i="1" s="1"/>
  <c r="P79" i="1" a="1"/>
  <c r="P79" i="1" s="1"/>
  <c r="Q79" i="1" a="1"/>
  <c r="Q79" i="1" s="1"/>
  <c r="R79" i="1" a="1"/>
  <c r="R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Y79" i="1" a="1"/>
  <c r="Y79" i="1" s="1"/>
  <c r="Z79" i="1" a="1"/>
  <c r="Z79" i="1" s="1"/>
  <c r="AA79" i="1" a="1"/>
  <c r="AA79" i="1" s="1"/>
  <c r="AB79" i="1" a="1"/>
  <c r="AB79" i="1" s="1"/>
  <c r="AG79" i="1" a="1"/>
  <c r="AG79" i="1" s="1"/>
  <c r="AH79" i="1" a="1"/>
  <c r="AH79" i="1" s="1"/>
  <c r="AJ79" i="1" a="1"/>
  <c r="AJ79" i="1" s="1"/>
  <c r="AK79" i="1" a="1"/>
  <c r="AK79" i="1"/>
  <c r="AL79" i="1" a="1"/>
  <c r="AL79" i="1" s="1"/>
  <c r="AM79" i="1" a="1"/>
  <c r="AM79" i="1" s="1"/>
  <c r="AN79" i="1" a="1"/>
  <c r="AN79" i="1" s="1"/>
  <c r="AO79" i="1" a="1"/>
  <c r="AO79" i="1" s="1"/>
  <c r="C80" i="1" a="1"/>
  <c r="C80" i="1" s="1"/>
  <c r="D80" i="1" a="1"/>
  <c r="D80" i="1" s="1"/>
  <c r="E80" i="1" a="1"/>
  <c r="E80" i="1" s="1"/>
  <c r="F80" i="1" a="1"/>
  <c r="F80" i="1"/>
  <c r="G80" i="1" a="1"/>
  <c r="G80" i="1" s="1"/>
  <c r="H80" i="1" a="1"/>
  <c r="H80" i="1" s="1"/>
  <c r="I80" i="1" a="1"/>
  <c r="I80" i="1" s="1"/>
  <c r="J80" i="1" a="1"/>
  <c r="J80" i="1" s="1"/>
  <c r="K80" i="1" a="1"/>
  <c r="K80" i="1" s="1"/>
  <c r="L80" i="1" a="1"/>
  <c r="L80" i="1" s="1"/>
  <c r="M80" i="1" a="1"/>
  <c r="M80" i="1" s="1"/>
  <c r="N80" i="1" a="1"/>
  <c r="N80" i="1" s="1"/>
  <c r="O80" i="1" a="1"/>
  <c r="O80" i="1" s="1"/>
  <c r="P80" i="1" a="1"/>
  <c r="P80" i="1" s="1"/>
  <c r="Q80" i="1" a="1"/>
  <c r="Q80" i="1" s="1"/>
  <c r="R80" i="1" a="1"/>
  <c r="R80" i="1" s="1"/>
  <c r="S80" i="1" a="1"/>
  <c r="S80" i="1" s="1"/>
  <c r="T80" i="1" a="1"/>
  <c r="T80" i="1" s="1"/>
  <c r="U80" i="1" a="1"/>
  <c r="U80" i="1" s="1"/>
  <c r="V80" i="1" a="1"/>
  <c r="V80" i="1" s="1"/>
  <c r="W80" i="1" a="1"/>
  <c r="W80" i="1" s="1"/>
  <c r="X80" i="1" a="1"/>
  <c r="X80" i="1" s="1"/>
  <c r="Y80" i="1" a="1"/>
  <c r="Y80" i="1" s="1"/>
  <c r="Z80" i="1" a="1"/>
  <c r="Z80" i="1" s="1"/>
  <c r="AA80" i="1" a="1"/>
  <c r="AA80" i="1" s="1"/>
  <c r="AB80" i="1" a="1"/>
  <c r="AB80" i="1" s="1"/>
  <c r="AG80" i="1" a="1"/>
  <c r="AG80" i="1" s="1"/>
  <c r="AH80" i="1" a="1"/>
  <c r="AH80" i="1" s="1"/>
  <c r="AJ80" i="1" a="1"/>
  <c r="AJ80" i="1" s="1"/>
  <c r="AK80" i="1" a="1"/>
  <c r="AK80" i="1" s="1"/>
  <c r="AL80" i="1" a="1"/>
  <c r="AL80" i="1"/>
  <c r="AM80" i="1" a="1"/>
  <c r="AM80" i="1" s="1"/>
  <c r="AN80" i="1" a="1"/>
  <c r="AN80" i="1" s="1"/>
  <c r="AO80" i="1" a="1"/>
  <c r="AO80" i="1" s="1"/>
  <c r="C81" i="1" a="1"/>
  <c r="C81" i="1" s="1"/>
  <c r="D81" i="1" a="1"/>
  <c r="D81" i="1"/>
  <c r="E81" i="1" a="1"/>
  <c r="E81" i="1" s="1"/>
  <c r="F81" i="1" a="1"/>
  <c r="F81" i="1" s="1"/>
  <c r="G81" i="1" a="1"/>
  <c r="G81" i="1" s="1"/>
  <c r="H81" i="1" a="1"/>
  <c r="H81" i="1" s="1"/>
  <c r="I81" i="1" a="1"/>
  <c r="I81" i="1" s="1"/>
  <c r="J81" i="1" a="1"/>
  <c r="J81" i="1" s="1"/>
  <c r="K81" i="1" a="1"/>
  <c r="K81" i="1" s="1"/>
  <c r="L81" i="1" a="1"/>
  <c r="L81" i="1" s="1"/>
  <c r="M81" i="1" a="1"/>
  <c r="M81" i="1" s="1"/>
  <c r="N81" i="1" a="1"/>
  <c r="N81" i="1" s="1"/>
  <c r="O81" i="1" a="1"/>
  <c r="O81" i="1" s="1"/>
  <c r="P81" i="1" a="1"/>
  <c r="P81" i="1" s="1"/>
  <c r="Q81" i="1" a="1"/>
  <c r="Q81" i="1" s="1"/>
  <c r="R81" i="1" a="1"/>
  <c r="R81" i="1" s="1"/>
  <c r="S81" i="1" a="1"/>
  <c r="S81" i="1" s="1"/>
  <c r="T81" i="1" a="1"/>
  <c r="T81" i="1" s="1"/>
  <c r="U81" i="1" a="1"/>
  <c r="U81" i="1" s="1"/>
  <c r="V81" i="1" a="1"/>
  <c r="V81" i="1" s="1"/>
  <c r="W81" i="1" a="1"/>
  <c r="W81" i="1" s="1"/>
  <c r="X81" i="1" a="1"/>
  <c r="X81" i="1" s="1"/>
  <c r="Y81" i="1" a="1"/>
  <c r="Y81" i="1"/>
  <c r="Z81" i="1" a="1"/>
  <c r="Z81" i="1" s="1"/>
  <c r="AA81" i="1" a="1"/>
  <c r="AA81" i="1" s="1"/>
  <c r="AB81" i="1" a="1"/>
  <c r="AB81" i="1" s="1"/>
  <c r="AG81" i="1" a="1"/>
  <c r="AG81" i="1" s="1"/>
  <c r="AH81" i="1" a="1"/>
  <c r="AH81" i="1" s="1"/>
  <c r="AJ81" i="1" a="1"/>
  <c r="AJ81" i="1" s="1"/>
  <c r="AK81" i="1" a="1"/>
  <c r="AK81" i="1" s="1"/>
  <c r="AL81" i="1" a="1"/>
  <c r="AL81" i="1" s="1"/>
  <c r="AM81" i="1" a="1"/>
  <c r="AM81" i="1" s="1"/>
  <c r="AN81" i="1" a="1"/>
  <c r="AN81" i="1" s="1"/>
  <c r="AO81" i="1" a="1"/>
  <c r="AO81" i="1" s="1"/>
  <c r="C82" i="1" a="1"/>
  <c r="C82" i="1" s="1"/>
  <c r="D82" i="1" a="1"/>
  <c r="D82" i="1"/>
  <c r="E82" i="1" a="1"/>
  <c r="E82" i="1" s="1"/>
  <c r="F82" i="1" a="1"/>
  <c r="F82" i="1" s="1"/>
  <c r="G82" i="1" a="1"/>
  <c r="G82" i="1" s="1"/>
  <c r="H82" i="1" a="1"/>
  <c r="H82" i="1" s="1"/>
  <c r="I82" i="1" a="1"/>
  <c r="I82" i="1" s="1"/>
  <c r="J82" i="1" a="1"/>
  <c r="J82" i="1" s="1"/>
  <c r="K82" i="1" a="1"/>
  <c r="K82" i="1" s="1"/>
  <c r="L82" i="1" a="1"/>
  <c r="L82" i="1" s="1"/>
  <c r="M82" i="1" a="1"/>
  <c r="M82" i="1" s="1"/>
  <c r="N82" i="1" a="1"/>
  <c r="N82" i="1" s="1"/>
  <c r="O82" i="1" a="1"/>
  <c r="O82" i="1" s="1"/>
  <c r="P82" i="1" a="1"/>
  <c r="P82" i="1" s="1"/>
  <c r="Q82" i="1" a="1"/>
  <c r="Q82" i="1" s="1"/>
  <c r="R82" i="1" a="1"/>
  <c r="R82" i="1" s="1"/>
  <c r="S82" i="1" a="1"/>
  <c r="S82" i="1" s="1"/>
  <c r="T82" i="1" a="1"/>
  <c r="T82" i="1" s="1"/>
  <c r="U82" i="1" a="1"/>
  <c r="U82" i="1" s="1"/>
  <c r="V82" i="1" a="1"/>
  <c r="V82" i="1" s="1"/>
  <c r="W82" i="1" a="1"/>
  <c r="W82" i="1" s="1"/>
  <c r="X82" i="1" a="1"/>
  <c r="X82" i="1" s="1"/>
  <c r="Y82" i="1" a="1"/>
  <c r="Y82" i="1"/>
  <c r="Z82" i="1" a="1"/>
  <c r="Z82" i="1" s="1"/>
  <c r="AA82" i="1" a="1"/>
  <c r="AA82" i="1" s="1"/>
  <c r="AB82" i="1" a="1"/>
  <c r="AB82" i="1" s="1"/>
  <c r="AG82" i="1" a="1"/>
  <c r="AG82" i="1" s="1"/>
  <c r="AH82" i="1" a="1"/>
  <c r="AH82" i="1" s="1"/>
  <c r="AJ82" i="1" a="1"/>
  <c r="AJ82" i="1" s="1"/>
  <c r="AK82" i="1" a="1"/>
  <c r="AK82" i="1" s="1"/>
  <c r="AL82" i="1" a="1"/>
  <c r="AL82" i="1" s="1"/>
  <c r="AM82" i="1" a="1"/>
  <c r="AM82" i="1" s="1"/>
  <c r="AN82" i="1" a="1"/>
  <c r="AN82" i="1" s="1"/>
  <c r="AO82" i="1" a="1"/>
  <c r="AO82" i="1" s="1"/>
  <c r="C83" i="1" a="1"/>
  <c r="C83" i="1" s="1"/>
  <c r="D83" i="1" a="1"/>
  <c r="D83" i="1" s="1"/>
  <c r="E83" i="1" a="1"/>
  <c r="E83" i="1" s="1"/>
  <c r="F83" i="1" a="1"/>
  <c r="F83" i="1" s="1"/>
  <c r="G83" i="1" a="1"/>
  <c r="G83" i="1" s="1"/>
  <c r="H83" i="1" a="1"/>
  <c r="H83" i="1" s="1"/>
  <c r="I83" i="1" a="1"/>
  <c r="I83" i="1" s="1"/>
  <c r="J83" i="1" a="1"/>
  <c r="J83" i="1" s="1"/>
  <c r="K83" i="1" a="1"/>
  <c r="K83" i="1" s="1"/>
  <c r="L83" i="1" a="1"/>
  <c r="L83" i="1" s="1"/>
  <c r="M83" i="1" a="1"/>
  <c r="M83" i="1" s="1"/>
  <c r="N83" i="1" a="1"/>
  <c r="N83" i="1" s="1"/>
  <c r="O83" i="1" a="1"/>
  <c r="O83" i="1" s="1"/>
  <c r="P83" i="1" a="1"/>
  <c r="P83" i="1" s="1"/>
  <c r="Q83" i="1" a="1"/>
  <c r="Q83" i="1" s="1"/>
  <c r="R83" i="1" a="1"/>
  <c r="R83" i="1" s="1"/>
  <c r="S83" i="1" a="1"/>
  <c r="S83" i="1" s="1"/>
  <c r="T83" i="1" a="1"/>
  <c r="T83" i="1" s="1"/>
  <c r="U83" i="1" a="1"/>
  <c r="U83" i="1" s="1"/>
  <c r="V83" i="1" a="1"/>
  <c r="V83" i="1" s="1"/>
  <c r="W83" i="1" a="1"/>
  <c r="W83" i="1" s="1"/>
  <c r="X83" i="1" a="1"/>
  <c r="X83" i="1" s="1"/>
  <c r="Y83" i="1" a="1"/>
  <c r="Y83" i="1" s="1"/>
  <c r="Z83" i="1" a="1"/>
  <c r="Z83" i="1" s="1"/>
  <c r="AA83" i="1" a="1"/>
  <c r="AA83" i="1" s="1"/>
  <c r="AB83" i="1" a="1"/>
  <c r="AB83" i="1" s="1"/>
  <c r="AG83" i="1" a="1"/>
  <c r="AG83" i="1"/>
  <c r="AH83" i="1" a="1"/>
  <c r="AH83" i="1" s="1"/>
  <c r="AJ83" i="1" a="1"/>
  <c r="AJ83" i="1" s="1"/>
  <c r="AK83" i="1" a="1"/>
  <c r="AK83" i="1"/>
  <c r="AL83" i="1" a="1"/>
  <c r="AL83" i="1"/>
  <c r="AM83" i="1" a="1"/>
  <c r="AM83" i="1" s="1"/>
  <c r="AN83" i="1" a="1"/>
  <c r="AN83" i="1" s="1"/>
  <c r="AO83" i="1" a="1"/>
  <c r="AO83" i="1" s="1"/>
  <c r="C84" i="1" a="1"/>
  <c r="C84" i="1"/>
  <c r="D84" i="1" a="1"/>
  <c r="D84" i="1" s="1"/>
  <c r="E84" i="1" a="1"/>
  <c r="E84" i="1" s="1"/>
  <c r="F84" i="1" a="1"/>
  <c r="F84" i="1" s="1"/>
  <c r="G84" i="1" a="1"/>
  <c r="G84" i="1" s="1"/>
  <c r="H84" i="1" a="1"/>
  <c r="H84" i="1" s="1"/>
  <c r="I84" i="1" a="1"/>
  <c r="I84" i="1" s="1"/>
  <c r="J84" i="1" a="1"/>
  <c r="J84" i="1" s="1"/>
  <c r="K84" i="1" a="1"/>
  <c r="K84" i="1" s="1"/>
  <c r="L84" i="1" a="1"/>
  <c r="L84" i="1" s="1"/>
  <c r="M84" i="1" a="1"/>
  <c r="M84" i="1" s="1"/>
  <c r="N84" i="1" a="1"/>
  <c r="N84" i="1" s="1"/>
  <c r="O84" i="1" a="1"/>
  <c r="O84" i="1" s="1"/>
  <c r="P84" i="1" a="1"/>
  <c r="P84" i="1" s="1"/>
  <c r="Q84" i="1" a="1"/>
  <c r="Q84" i="1" s="1"/>
  <c r="R84" i="1" a="1"/>
  <c r="R84" i="1" s="1"/>
  <c r="S84" i="1" a="1"/>
  <c r="S84" i="1" s="1"/>
  <c r="T84" i="1" a="1"/>
  <c r="T84" i="1" s="1"/>
  <c r="U84" i="1" a="1"/>
  <c r="U84" i="1" s="1"/>
  <c r="V84" i="1" a="1"/>
  <c r="V84" i="1" s="1"/>
  <c r="W84" i="1" a="1"/>
  <c r="W84" i="1" s="1"/>
  <c r="X84" i="1" a="1"/>
  <c r="X84" i="1" s="1"/>
  <c r="Y84" i="1" a="1"/>
  <c r="Y84" i="1" s="1"/>
  <c r="Z84" i="1" a="1"/>
  <c r="Z84" i="1" s="1"/>
  <c r="AA84" i="1" a="1"/>
  <c r="AA84" i="1" s="1"/>
  <c r="AB84" i="1" a="1"/>
  <c r="AB84" i="1" s="1"/>
  <c r="AG84" i="1" a="1"/>
  <c r="AG84" i="1" s="1"/>
  <c r="AH84" i="1" a="1"/>
  <c r="AH84" i="1" s="1"/>
  <c r="AJ84" i="1" a="1"/>
  <c r="AJ84" i="1" s="1"/>
  <c r="AK84" i="1" a="1"/>
  <c r="AK84" i="1" s="1"/>
  <c r="AL84" i="1" a="1"/>
  <c r="AL84" i="1"/>
  <c r="AM84" i="1" a="1"/>
  <c r="AM84" i="1" s="1"/>
  <c r="AN84" i="1" a="1"/>
  <c r="AN84" i="1" s="1"/>
  <c r="AO84" i="1" a="1"/>
  <c r="AO84" i="1" s="1"/>
  <c r="C85" i="1" a="1"/>
  <c r="C85" i="1" s="1"/>
  <c r="D85" i="1" a="1"/>
  <c r="D85" i="1" s="1"/>
  <c r="E85" i="1" a="1"/>
  <c r="E85" i="1"/>
  <c r="F85" i="1" a="1"/>
  <c r="F85" i="1" s="1"/>
  <c r="G85" i="1" a="1"/>
  <c r="G85" i="1" s="1"/>
  <c r="H85" i="1" a="1"/>
  <c r="H85" i="1" s="1"/>
  <c r="I85" i="1" a="1"/>
  <c r="I85" i="1" s="1"/>
  <c r="J85" i="1" a="1"/>
  <c r="J85" i="1" s="1"/>
  <c r="K85" i="1" a="1"/>
  <c r="K85" i="1" s="1"/>
  <c r="L85" i="1" a="1"/>
  <c r="L85" i="1" s="1"/>
  <c r="M85" i="1" a="1"/>
  <c r="M85" i="1" s="1"/>
  <c r="N85" i="1" a="1"/>
  <c r="N85" i="1" s="1"/>
  <c r="O85" i="1" a="1"/>
  <c r="O85" i="1" s="1"/>
  <c r="P85" i="1" a="1"/>
  <c r="P85" i="1" s="1"/>
  <c r="Q85" i="1" a="1"/>
  <c r="Q85" i="1" s="1"/>
  <c r="R85" i="1" a="1"/>
  <c r="R85" i="1" s="1"/>
  <c r="S85" i="1" a="1"/>
  <c r="S85" i="1" s="1"/>
  <c r="T85" i="1" a="1"/>
  <c r="T85" i="1" s="1"/>
  <c r="U85" i="1" a="1"/>
  <c r="U85" i="1" s="1"/>
  <c r="V85" i="1" a="1"/>
  <c r="V85" i="1" s="1"/>
  <c r="W85" i="1" a="1"/>
  <c r="W85" i="1" s="1"/>
  <c r="X85" i="1" a="1"/>
  <c r="X85" i="1" s="1"/>
  <c r="Y85" i="1" a="1"/>
  <c r="Y85" i="1" s="1"/>
  <c r="Z85" i="1" a="1"/>
  <c r="Z85" i="1" s="1"/>
  <c r="AA85" i="1" a="1"/>
  <c r="AA85" i="1" s="1"/>
  <c r="AB85" i="1" a="1"/>
  <c r="AB85" i="1" s="1"/>
  <c r="AG85" i="1" a="1"/>
  <c r="AG85" i="1" s="1"/>
  <c r="AH85" i="1" a="1"/>
  <c r="AH85" i="1" s="1"/>
  <c r="AJ85" i="1" a="1"/>
  <c r="AJ85" i="1" s="1"/>
  <c r="AK85" i="1" a="1"/>
  <c r="AK85" i="1"/>
  <c r="AL85" i="1" a="1"/>
  <c r="AL85" i="1"/>
  <c r="AM85" i="1" a="1"/>
  <c r="AM85" i="1" s="1"/>
  <c r="AN85" i="1" a="1"/>
  <c r="AN85" i="1" s="1"/>
  <c r="AO85" i="1" a="1"/>
  <c r="AO85" i="1" s="1"/>
  <c r="C86" i="1" a="1"/>
  <c r="C86" i="1" s="1"/>
  <c r="D86" i="1" a="1"/>
  <c r="D86" i="1" s="1"/>
  <c r="E86" i="1" a="1"/>
  <c r="E86" i="1" s="1"/>
  <c r="F86" i="1" a="1"/>
  <c r="F86" i="1" s="1"/>
  <c r="G86" i="1" a="1"/>
  <c r="G86" i="1" s="1"/>
  <c r="H86" i="1" a="1"/>
  <c r="H86" i="1" s="1"/>
  <c r="I86" i="1" a="1"/>
  <c r="I86" i="1" s="1"/>
  <c r="J86" i="1" a="1"/>
  <c r="J86" i="1" s="1"/>
  <c r="K86" i="1" a="1"/>
  <c r="K86" i="1" s="1"/>
  <c r="L86" i="1" a="1"/>
  <c r="L86" i="1" s="1"/>
  <c r="M86" i="1" a="1"/>
  <c r="M86" i="1" s="1"/>
  <c r="N86" i="1" a="1"/>
  <c r="N86" i="1" s="1"/>
  <c r="O86" i="1" a="1"/>
  <c r="O86" i="1" s="1"/>
  <c r="P86" i="1" a="1"/>
  <c r="P86" i="1" s="1"/>
  <c r="Q86" i="1" a="1"/>
  <c r="Q86" i="1" s="1"/>
  <c r="R86" i="1" a="1"/>
  <c r="R86" i="1" s="1"/>
  <c r="S86" i="1" a="1"/>
  <c r="S86" i="1" s="1"/>
  <c r="T86" i="1" a="1"/>
  <c r="T86" i="1" s="1"/>
  <c r="U86" i="1" a="1"/>
  <c r="U86" i="1" s="1"/>
  <c r="V86" i="1" a="1"/>
  <c r="V86" i="1" s="1"/>
  <c r="W86" i="1" a="1"/>
  <c r="W86" i="1" s="1"/>
  <c r="X86" i="1" a="1"/>
  <c r="X86" i="1" s="1"/>
  <c r="Y86" i="1" a="1"/>
  <c r="Y86" i="1"/>
  <c r="Z86" i="1" a="1"/>
  <c r="Z86" i="1"/>
  <c r="AA86" i="1" a="1"/>
  <c r="AA86" i="1" s="1"/>
  <c r="AB86" i="1" a="1"/>
  <c r="AB86" i="1" s="1"/>
  <c r="AG86" i="1" a="1"/>
  <c r="AG86" i="1"/>
  <c r="AH86" i="1" a="1"/>
  <c r="AH86" i="1" s="1"/>
  <c r="AJ86" i="1" a="1"/>
  <c r="AJ86" i="1" s="1"/>
  <c r="AK86" i="1" a="1"/>
  <c r="AK86" i="1" s="1"/>
  <c r="AL86" i="1" a="1"/>
  <c r="AL86" i="1" s="1"/>
  <c r="AM86" i="1" a="1"/>
  <c r="AM86" i="1" s="1"/>
  <c r="AN86" i="1" a="1"/>
  <c r="AN86" i="1" s="1"/>
  <c r="AO86" i="1" a="1"/>
  <c r="AO86" i="1" s="1"/>
  <c r="C87" i="1" a="1"/>
  <c r="C87" i="1"/>
  <c r="D87" i="1" a="1"/>
  <c r="D87" i="1" s="1"/>
  <c r="E87" i="1" a="1"/>
  <c r="E87" i="1" s="1"/>
  <c r="F87" i="1" a="1"/>
  <c r="F87" i="1" s="1"/>
  <c r="G87" i="1" a="1"/>
  <c r="G87" i="1" s="1"/>
  <c r="H87" i="1" a="1"/>
  <c r="H87" i="1" s="1"/>
  <c r="I87" i="1" a="1"/>
  <c r="I87" i="1" s="1"/>
  <c r="J87" i="1" a="1"/>
  <c r="J87" i="1" s="1"/>
  <c r="K87" i="1" a="1"/>
  <c r="K87" i="1" s="1"/>
  <c r="L87" i="1" a="1"/>
  <c r="L87" i="1" s="1"/>
  <c r="M87" i="1" a="1"/>
  <c r="M87" i="1" s="1"/>
  <c r="N87" i="1" a="1"/>
  <c r="N87" i="1" s="1"/>
  <c r="O87" i="1" a="1"/>
  <c r="O87" i="1" s="1"/>
  <c r="P87" i="1" a="1"/>
  <c r="P87" i="1" s="1"/>
  <c r="Q87" i="1" a="1"/>
  <c r="Q87" i="1" s="1"/>
  <c r="R87" i="1" a="1"/>
  <c r="R87" i="1" s="1"/>
  <c r="S87" i="1" a="1"/>
  <c r="S87" i="1" s="1"/>
  <c r="T87" i="1" a="1"/>
  <c r="T87" i="1" s="1"/>
  <c r="U87" i="1" a="1"/>
  <c r="U87" i="1" s="1"/>
  <c r="V87" i="1" a="1"/>
  <c r="V87" i="1" s="1"/>
  <c r="W87" i="1" a="1"/>
  <c r="W87" i="1" s="1"/>
  <c r="X87" i="1" a="1"/>
  <c r="X87" i="1" s="1"/>
  <c r="Y87" i="1" a="1"/>
  <c r="Y87" i="1"/>
  <c r="Z87" i="1" a="1"/>
  <c r="Z87" i="1" s="1"/>
  <c r="AA87" i="1" a="1"/>
  <c r="AA87" i="1" s="1"/>
  <c r="AB87" i="1" a="1"/>
  <c r="AB87" i="1" s="1"/>
  <c r="AG87" i="1" a="1"/>
  <c r="AG87" i="1"/>
  <c r="AH87" i="1" a="1"/>
  <c r="AH87" i="1"/>
  <c r="AJ87" i="1" a="1"/>
  <c r="AJ87" i="1" s="1"/>
  <c r="AK87" i="1" a="1"/>
  <c r="AK87" i="1" s="1"/>
  <c r="AL87" i="1" a="1"/>
  <c r="AL87" i="1" s="1"/>
  <c r="AM87" i="1" a="1"/>
  <c r="AM87" i="1" s="1"/>
  <c r="AN87" i="1" a="1"/>
  <c r="AN87" i="1" s="1"/>
  <c r="AO87" i="1" a="1"/>
  <c r="AO87" i="1" s="1"/>
  <c r="C88" i="1" a="1"/>
  <c r="C88" i="1" s="1"/>
  <c r="D88" i="1" a="1"/>
  <c r="D88" i="1" s="1"/>
  <c r="E88" i="1" a="1"/>
  <c r="E88" i="1" s="1"/>
  <c r="F88" i="1" a="1"/>
  <c r="F88" i="1" s="1"/>
  <c r="G88" i="1" a="1"/>
  <c r="G88" i="1" s="1"/>
  <c r="H88" i="1" a="1"/>
  <c r="H88" i="1" s="1"/>
  <c r="I88" i="1" a="1"/>
  <c r="I88" i="1" s="1"/>
  <c r="J88" i="1" a="1"/>
  <c r="J88" i="1" s="1"/>
  <c r="K88" i="1" a="1"/>
  <c r="K88" i="1" s="1"/>
  <c r="L88" i="1" a="1"/>
  <c r="L88" i="1" s="1"/>
  <c r="M88" i="1" a="1"/>
  <c r="M88" i="1" s="1"/>
  <c r="N88" i="1" a="1"/>
  <c r="N88" i="1" s="1"/>
  <c r="O88" i="1" a="1"/>
  <c r="O88" i="1" s="1"/>
  <c r="P88" i="1" a="1"/>
  <c r="P88" i="1" s="1"/>
  <c r="Q88" i="1" a="1"/>
  <c r="Q88" i="1" s="1"/>
  <c r="R88" i="1" a="1"/>
  <c r="R88" i="1" s="1"/>
  <c r="S88" i="1" a="1"/>
  <c r="S88" i="1" s="1"/>
  <c r="T88" i="1" a="1"/>
  <c r="T88" i="1" s="1"/>
  <c r="U88" i="1" a="1"/>
  <c r="U88" i="1" s="1"/>
  <c r="V88" i="1" a="1"/>
  <c r="V88" i="1" s="1"/>
  <c r="W88" i="1" a="1"/>
  <c r="W88" i="1" s="1"/>
  <c r="X88" i="1" a="1"/>
  <c r="X88" i="1" s="1"/>
  <c r="Y88" i="1" a="1"/>
  <c r="Y88" i="1" s="1"/>
  <c r="Z88" i="1" a="1"/>
  <c r="Z88" i="1" s="1"/>
  <c r="AA88" i="1" a="1"/>
  <c r="AA88" i="1" s="1"/>
  <c r="AB88" i="1" a="1"/>
  <c r="AB88" i="1" s="1"/>
  <c r="AG88" i="1" a="1"/>
  <c r="AG88" i="1"/>
  <c r="AH88" i="1" a="1"/>
  <c r="AH88" i="1" s="1"/>
  <c r="AJ88" i="1" a="1"/>
  <c r="AJ88" i="1" s="1"/>
  <c r="AK88" i="1" a="1"/>
  <c r="AK88" i="1"/>
  <c r="AL88" i="1" a="1"/>
  <c r="AL88" i="1"/>
  <c r="AM88" i="1" a="1"/>
  <c r="AM88" i="1" s="1"/>
  <c r="AN88" i="1" a="1"/>
  <c r="AN88" i="1" s="1"/>
  <c r="AO88" i="1" a="1"/>
  <c r="AO88" i="1" s="1"/>
  <c r="C89" i="1" a="1"/>
  <c r="C89" i="1"/>
  <c r="D89" i="1" a="1"/>
  <c r="D89" i="1" s="1"/>
  <c r="E89" i="1" a="1"/>
  <c r="E89" i="1" s="1"/>
  <c r="F89" i="1" a="1"/>
  <c r="F89" i="1" s="1"/>
  <c r="G89" i="1" a="1"/>
  <c r="G89" i="1" s="1"/>
  <c r="H89" i="1" a="1"/>
  <c r="H89" i="1" s="1"/>
  <c r="I89" i="1" a="1"/>
  <c r="I89" i="1" s="1"/>
  <c r="J89" i="1" a="1"/>
  <c r="J89" i="1" s="1"/>
  <c r="K89" i="1" a="1"/>
  <c r="K89" i="1" s="1"/>
  <c r="L89" i="1" a="1"/>
  <c r="L89" i="1" s="1"/>
  <c r="M89" i="1" a="1"/>
  <c r="M89" i="1" s="1"/>
  <c r="N89" i="1" a="1"/>
  <c r="N89" i="1" s="1"/>
  <c r="O89" i="1" a="1"/>
  <c r="O89" i="1" s="1"/>
  <c r="P89" i="1" a="1"/>
  <c r="P89" i="1" s="1"/>
  <c r="Q89" i="1" a="1"/>
  <c r="Q89" i="1" s="1"/>
  <c r="R89" i="1" a="1"/>
  <c r="R89" i="1" s="1"/>
  <c r="S89" i="1" a="1"/>
  <c r="S89" i="1" s="1"/>
  <c r="T89" i="1" a="1"/>
  <c r="T89" i="1" s="1"/>
  <c r="U89" i="1" a="1"/>
  <c r="U89" i="1" s="1"/>
  <c r="V89" i="1" a="1"/>
  <c r="V89" i="1" s="1"/>
  <c r="W89" i="1" a="1"/>
  <c r="W89" i="1" s="1"/>
  <c r="X89" i="1" a="1"/>
  <c r="X89" i="1" s="1"/>
  <c r="Y89" i="1" a="1"/>
  <c r="Y89" i="1" s="1"/>
  <c r="Z89" i="1" a="1"/>
  <c r="Z89" i="1"/>
  <c r="AA89" i="1" a="1"/>
  <c r="AA89" i="1" s="1"/>
  <c r="AB89" i="1" a="1"/>
  <c r="AB89" i="1" s="1"/>
  <c r="AG89" i="1" a="1"/>
  <c r="AG89" i="1"/>
  <c r="AH89" i="1" a="1"/>
  <c r="AH89" i="1" s="1"/>
  <c r="AJ89" i="1" a="1"/>
  <c r="AJ89" i="1" s="1"/>
  <c r="AK89" i="1" a="1"/>
  <c r="AK89" i="1"/>
  <c r="AL89" i="1" a="1"/>
  <c r="AL89" i="1" s="1"/>
  <c r="AM89" i="1" a="1"/>
  <c r="AM89" i="1" s="1"/>
  <c r="AN89" i="1" a="1"/>
  <c r="AN89" i="1" s="1"/>
  <c r="AO89" i="1" a="1"/>
  <c r="AO89" i="1" s="1"/>
  <c r="C90" i="1" a="1"/>
  <c r="C90" i="1" s="1"/>
  <c r="D90" i="1" a="1"/>
  <c r="D90" i="1" s="1"/>
  <c r="E90" i="1" a="1"/>
  <c r="E90" i="1" s="1"/>
  <c r="F90" i="1" a="1"/>
  <c r="F90" i="1"/>
  <c r="G90" i="1" a="1"/>
  <c r="G90" i="1" s="1"/>
  <c r="H90" i="1" a="1"/>
  <c r="H90" i="1" s="1"/>
  <c r="I90" i="1" a="1"/>
  <c r="I90" i="1" s="1"/>
  <c r="J90" i="1" a="1"/>
  <c r="J90" i="1" s="1"/>
  <c r="K90" i="1" a="1"/>
  <c r="K90" i="1" s="1"/>
  <c r="L90" i="1" a="1"/>
  <c r="L90" i="1" s="1"/>
  <c r="M90" i="1" a="1"/>
  <c r="M90" i="1" s="1"/>
  <c r="N90" i="1" a="1"/>
  <c r="N90" i="1" s="1"/>
  <c r="O90" i="1" a="1"/>
  <c r="O90" i="1" s="1"/>
  <c r="P90" i="1" a="1"/>
  <c r="P90" i="1" s="1"/>
  <c r="Q90" i="1" a="1"/>
  <c r="Q90" i="1" s="1"/>
  <c r="R90" i="1" a="1"/>
  <c r="R90" i="1" s="1"/>
  <c r="S90" i="1" a="1"/>
  <c r="S90" i="1" s="1"/>
  <c r="T90" i="1" a="1"/>
  <c r="T90" i="1" s="1"/>
  <c r="U90" i="1" a="1"/>
  <c r="U90" i="1" s="1"/>
  <c r="V90" i="1" a="1"/>
  <c r="V90" i="1" s="1"/>
  <c r="W90" i="1" a="1"/>
  <c r="W90" i="1" s="1"/>
  <c r="X90" i="1" a="1"/>
  <c r="X90" i="1" s="1"/>
  <c r="Y90" i="1" a="1"/>
  <c r="Y90" i="1"/>
  <c r="Z90" i="1" a="1"/>
  <c r="Z90" i="1" s="1"/>
  <c r="AA90" i="1" a="1"/>
  <c r="AA90" i="1" s="1"/>
  <c r="AB90" i="1" a="1"/>
  <c r="AB90" i="1" s="1"/>
  <c r="AG90" i="1" a="1"/>
  <c r="AG90" i="1" s="1"/>
  <c r="AH90" i="1" a="1"/>
  <c r="AH90" i="1" s="1"/>
  <c r="AJ90" i="1" a="1"/>
  <c r="AJ90" i="1" s="1"/>
  <c r="AK90" i="1" a="1"/>
  <c r="AK90" i="1" s="1"/>
  <c r="AL90" i="1" a="1"/>
  <c r="AL90" i="1" s="1"/>
  <c r="AM90" i="1" a="1"/>
  <c r="AM90" i="1" s="1"/>
  <c r="AN90" i="1" a="1"/>
  <c r="AN90" i="1" s="1"/>
  <c r="AO90" i="1" a="1"/>
  <c r="AO90" i="1" s="1"/>
  <c r="C91" i="1" a="1"/>
  <c r="C91" i="1" s="1"/>
  <c r="D91" i="1" a="1"/>
  <c r="D91" i="1" s="1"/>
  <c r="E91" i="1" a="1"/>
  <c r="E91" i="1" s="1"/>
  <c r="F91" i="1" a="1"/>
  <c r="F91" i="1" s="1"/>
  <c r="G91" i="1" a="1"/>
  <c r="G91" i="1" s="1"/>
  <c r="H91" i="1" a="1"/>
  <c r="H91" i="1" s="1"/>
  <c r="I91" i="1" a="1"/>
  <c r="I91" i="1" s="1"/>
  <c r="J91" i="1" a="1"/>
  <c r="J91" i="1" s="1"/>
  <c r="K91" i="1" a="1"/>
  <c r="K91" i="1" s="1"/>
  <c r="L91" i="1" a="1"/>
  <c r="L91" i="1" s="1"/>
  <c r="M91" i="1" a="1"/>
  <c r="M91" i="1" s="1"/>
  <c r="N91" i="1" a="1"/>
  <c r="N91" i="1" s="1"/>
  <c r="O91" i="1" a="1"/>
  <c r="O91" i="1" s="1"/>
  <c r="P91" i="1" a="1"/>
  <c r="P91" i="1" s="1"/>
  <c r="Q91" i="1" a="1"/>
  <c r="Q91" i="1" s="1"/>
  <c r="R91" i="1" a="1"/>
  <c r="R91" i="1" s="1"/>
  <c r="S91" i="1" a="1"/>
  <c r="S91" i="1" s="1"/>
  <c r="T91" i="1" a="1"/>
  <c r="T91" i="1" s="1"/>
  <c r="U91" i="1" a="1"/>
  <c r="U91" i="1" s="1"/>
  <c r="V91" i="1" a="1"/>
  <c r="V91" i="1" s="1"/>
  <c r="W91" i="1" a="1"/>
  <c r="W91" i="1" s="1"/>
  <c r="X91" i="1" a="1"/>
  <c r="X91" i="1" s="1"/>
  <c r="Y91" i="1" a="1"/>
  <c r="Y91" i="1" s="1"/>
  <c r="Z91" i="1" a="1"/>
  <c r="Z91" i="1"/>
  <c r="AA91" i="1" a="1"/>
  <c r="AA91" i="1" s="1"/>
  <c r="AB91" i="1" a="1"/>
  <c r="AB91" i="1" s="1"/>
  <c r="AG91" i="1" a="1"/>
  <c r="AG91" i="1" s="1"/>
  <c r="AH91" i="1" a="1"/>
  <c r="AH91" i="1" s="1"/>
  <c r="AJ91" i="1" a="1"/>
  <c r="AJ91" i="1" s="1"/>
  <c r="AK91" i="1" a="1"/>
  <c r="AK91" i="1"/>
  <c r="AL91" i="1" a="1"/>
  <c r="AL91" i="1" s="1"/>
  <c r="AM91" i="1" a="1"/>
  <c r="AM91" i="1" s="1"/>
  <c r="AN91" i="1" a="1"/>
  <c r="AN91" i="1" s="1"/>
  <c r="AO91" i="1" a="1"/>
  <c r="AO9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<sst xmlns="http://schemas.openxmlformats.org/spreadsheetml/2006/main" count="491" uniqueCount="315">
  <si>
    <t>合约名称</t>
  </si>
  <si>
    <t>净持仓</t>
  </si>
  <si>
    <t>多头持仓</t>
  </si>
  <si>
    <t>空头持仓</t>
  </si>
  <si>
    <t>持仓盈亏</t>
  </si>
  <si>
    <t>最新</t>
  </si>
  <si>
    <t>涨跌</t>
  </si>
  <si>
    <t>涨跌%</t>
  </si>
  <si>
    <t>买量</t>
  </si>
  <si>
    <t>买价</t>
  </si>
  <si>
    <t>卖价</t>
  </si>
  <si>
    <t>卖量</t>
  </si>
  <si>
    <t>今开</t>
  </si>
  <si>
    <t>最高</t>
  </si>
  <si>
    <t>最低</t>
  </si>
  <si>
    <t>成交量</t>
  </si>
  <si>
    <t>持仓量</t>
  </si>
  <si>
    <t>现增仓</t>
  </si>
  <si>
    <t>日增仓</t>
  </si>
  <si>
    <t>合约状态</t>
  </si>
  <si>
    <t>更新时间</t>
  </si>
  <si>
    <t>涨停</t>
  </si>
  <si>
    <t>跌停</t>
  </si>
  <si>
    <t>今收</t>
  </si>
  <si>
    <t>今结</t>
  </si>
  <si>
    <t>昨收</t>
  </si>
  <si>
    <t>昨结</t>
  </si>
  <si>
    <t>交易所</t>
  </si>
  <si>
    <t>品种</t>
  </si>
  <si>
    <t>合约乘数</t>
  </si>
  <si>
    <t>到期日</t>
  </si>
  <si>
    <t>保证金</t>
  </si>
  <si>
    <t>手续费</t>
  </si>
  <si>
    <t>币种</t>
  </si>
  <si>
    <t>现买量</t>
  </si>
  <si>
    <t>现买价</t>
  </si>
  <si>
    <t>现卖价</t>
  </si>
  <si>
    <t>现卖量</t>
  </si>
  <si>
    <t>总买量</t>
  </si>
  <si>
    <t>总卖量</t>
  </si>
  <si>
    <t>AP610</t>
  </si>
  <si>
    <t>CZCE</t>
  </si>
  <si>
    <t>AP</t>
  </si>
  <si>
    <t>CF609</t>
  </si>
  <si>
    <t>CF</t>
  </si>
  <si>
    <t>CJ609</t>
  </si>
  <si>
    <t>CJ</t>
  </si>
  <si>
    <t>CY607</t>
  </si>
  <si>
    <t>CY</t>
  </si>
  <si>
    <t>FG609</t>
  </si>
  <si>
    <t>FG</t>
  </si>
  <si>
    <t>IC2606</t>
  </si>
  <si>
    <t>CFFEX</t>
  </si>
  <si>
    <t>IC</t>
  </si>
  <si>
    <t>IF2606</t>
  </si>
  <si>
    <t>IF</t>
  </si>
  <si>
    <t>IH2606</t>
  </si>
  <si>
    <t>IH</t>
  </si>
  <si>
    <t>IM2606</t>
  </si>
  <si>
    <t>IM</t>
  </si>
  <si>
    <t>JR705</t>
  </si>
  <si>
    <t>JR</t>
  </si>
  <si>
    <t>MA609</t>
  </si>
  <si>
    <t>MA</t>
  </si>
  <si>
    <t>OI609</t>
  </si>
  <si>
    <t>OI</t>
  </si>
  <si>
    <t>PF607</t>
  </si>
  <si>
    <t>PF</t>
  </si>
  <si>
    <t>PK610</t>
  </si>
  <si>
    <t>PK</t>
  </si>
  <si>
    <t>PL607</t>
  </si>
  <si>
    <t>PL</t>
  </si>
  <si>
    <t>PM705</t>
  </si>
  <si>
    <t>PM</t>
  </si>
  <si>
    <t>PR607</t>
  </si>
  <si>
    <t>PR</t>
  </si>
  <si>
    <t>PX607</t>
  </si>
  <si>
    <t>PX</t>
  </si>
  <si>
    <t>RI705</t>
  </si>
  <si>
    <t>RI</t>
  </si>
  <si>
    <t>RM609</t>
  </si>
  <si>
    <t>RM</t>
  </si>
  <si>
    <t>RS609</t>
  </si>
  <si>
    <t>RS</t>
  </si>
  <si>
    <t>SA609</t>
  </si>
  <si>
    <t>SA</t>
  </si>
  <si>
    <t>SF607</t>
  </si>
  <si>
    <t>SF</t>
  </si>
  <si>
    <t>SH607</t>
  </si>
  <si>
    <t>SH</t>
  </si>
  <si>
    <t>SM607</t>
  </si>
  <si>
    <t>SM</t>
  </si>
  <si>
    <t>SR609</t>
  </si>
  <si>
    <t>SR</t>
  </si>
  <si>
    <t>T</t>
  </si>
  <si>
    <t>TA609</t>
  </si>
  <si>
    <t>TA</t>
  </si>
  <si>
    <t>TF</t>
  </si>
  <si>
    <t>TL</t>
  </si>
  <si>
    <t>TS</t>
  </si>
  <si>
    <t>UR609</t>
  </si>
  <si>
    <t>UR</t>
  </si>
  <si>
    <t>WH705</t>
  </si>
  <si>
    <t>WH</t>
  </si>
  <si>
    <t>ZC705</t>
  </si>
  <si>
    <t>ZC</t>
  </si>
  <si>
    <t>a2607</t>
  </si>
  <si>
    <t>DCE</t>
  </si>
  <si>
    <t>a</t>
  </si>
  <si>
    <t>ad2607</t>
  </si>
  <si>
    <t>SHFE</t>
  </si>
  <si>
    <t>ad</t>
  </si>
  <si>
    <t>ag2608</t>
  </si>
  <si>
    <t>ag</t>
  </si>
  <si>
    <t>al2607</t>
  </si>
  <si>
    <t>al</t>
  </si>
  <si>
    <t>ao2609</t>
  </si>
  <si>
    <t>ao</t>
  </si>
  <si>
    <t>au</t>
  </si>
  <si>
    <t>b2607</t>
  </si>
  <si>
    <t>b</t>
  </si>
  <si>
    <t>bb2607</t>
  </si>
  <si>
    <t>bb</t>
  </si>
  <si>
    <t>bc2606</t>
  </si>
  <si>
    <t>INE</t>
  </si>
  <si>
    <t>bc</t>
  </si>
  <si>
    <t>br</t>
  </si>
  <si>
    <t>bu</t>
  </si>
  <si>
    <t>bz</t>
  </si>
  <si>
    <t>c2607</t>
  </si>
  <si>
    <t>c</t>
  </si>
  <si>
    <t>cs2607</t>
  </si>
  <si>
    <t>cs</t>
  </si>
  <si>
    <t>cu2607</t>
  </si>
  <si>
    <t>cu</t>
  </si>
  <si>
    <t>eb2607</t>
  </si>
  <si>
    <t>eb</t>
  </si>
  <si>
    <t>ec2606</t>
  </si>
  <si>
    <t>ec</t>
  </si>
  <si>
    <t>eg2609</t>
  </si>
  <si>
    <t>eg</t>
  </si>
  <si>
    <t>fb2607</t>
  </si>
  <si>
    <t>fb</t>
  </si>
  <si>
    <t>fu2609</t>
  </si>
  <si>
    <t>fu</t>
  </si>
  <si>
    <t>hc2610</t>
  </si>
  <si>
    <t>hc</t>
  </si>
  <si>
    <t>i2609</t>
  </si>
  <si>
    <t>i</t>
  </si>
  <si>
    <t>j2609</t>
  </si>
  <si>
    <t>j</t>
  </si>
  <si>
    <t>jd2607</t>
  </si>
  <si>
    <t>jd</t>
  </si>
  <si>
    <t>jm2609</t>
  </si>
  <si>
    <t>jm</t>
  </si>
  <si>
    <t>l2609</t>
  </si>
  <si>
    <t>l</t>
  </si>
  <si>
    <t>lc2609</t>
  </si>
  <si>
    <t>GFEX</t>
  </si>
  <si>
    <t>lc</t>
  </si>
  <si>
    <t>lg2607</t>
  </si>
  <si>
    <t>lg</t>
  </si>
  <si>
    <t>lh2607</t>
  </si>
  <si>
    <t>lh</t>
  </si>
  <si>
    <t>lu2607</t>
  </si>
  <si>
    <t>lu</t>
  </si>
  <si>
    <t>m2609</t>
  </si>
  <si>
    <t>m</t>
  </si>
  <si>
    <t>ni2606</t>
  </si>
  <si>
    <t>ni</t>
  </si>
  <si>
    <t>nr2607</t>
  </si>
  <si>
    <t>nr</t>
  </si>
  <si>
    <t>op2607</t>
  </si>
  <si>
    <t>op</t>
  </si>
  <si>
    <t>p2609</t>
  </si>
  <si>
    <t>p</t>
  </si>
  <si>
    <t>pb2607</t>
  </si>
  <si>
    <t>pb</t>
  </si>
  <si>
    <t>pd2606</t>
  </si>
  <si>
    <t>pd</t>
  </si>
  <si>
    <t>pg2607</t>
  </si>
  <si>
    <t>pg</t>
  </si>
  <si>
    <t>pp2609</t>
  </si>
  <si>
    <t>pp</t>
  </si>
  <si>
    <t>ps</t>
  </si>
  <si>
    <t>pt</t>
  </si>
  <si>
    <t>rb2610</t>
  </si>
  <si>
    <t>rb</t>
  </si>
  <si>
    <t>rr2607</t>
  </si>
  <si>
    <t>rr</t>
  </si>
  <si>
    <t>ru2609</t>
  </si>
  <si>
    <t>ru</t>
  </si>
  <si>
    <t>sc2607</t>
  </si>
  <si>
    <t>sc</t>
  </si>
  <si>
    <t>si2609</t>
  </si>
  <si>
    <t>si</t>
  </si>
  <si>
    <t>sn2606</t>
  </si>
  <si>
    <t>sn</t>
  </si>
  <si>
    <t>sp2609</t>
  </si>
  <si>
    <t>sp</t>
  </si>
  <si>
    <t>ss2607</t>
  </si>
  <si>
    <t>ss</t>
  </si>
  <si>
    <t>v2609</t>
  </si>
  <si>
    <t>v</t>
  </si>
  <si>
    <t>wr2607</t>
  </si>
  <si>
    <t>wr</t>
  </si>
  <si>
    <t>y2609</t>
  </si>
  <si>
    <t>y</t>
  </si>
  <si>
    <t>zn</t>
  </si>
  <si>
    <t>中证500指数2606</t>
  </si>
  <si>
    <t>CNY</t>
  </si>
  <si>
    <t>沪深300指数2606</t>
  </si>
  <si>
    <t>上证50指数2606</t>
  </si>
  <si>
    <t>中证1000指数2606</t>
  </si>
  <si>
    <t>T2609</t>
  </si>
  <si>
    <t>10年期国债2609</t>
  </si>
  <si>
    <t>TF2609</t>
  </si>
  <si>
    <t>5年期国债2609</t>
  </si>
  <si>
    <t>TL2609</t>
  </si>
  <si>
    <t>30年期国债2609</t>
  </si>
  <si>
    <t>TS2609</t>
  </si>
  <si>
    <t>2年期国债2609</t>
  </si>
  <si>
    <t>苹果610</t>
  </si>
  <si>
    <t>棉花609</t>
  </si>
  <si>
    <t>红枣609</t>
  </si>
  <si>
    <t>棉纱607</t>
  </si>
  <si>
    <t>玻璃609</t>
  </si>
  <si>
    <t>粳稻705</t>
  </si>
  <si>
    <t>甲醇609</t>
  </si>
  <si>
    <t>菜油609</t>
  </si>
  <si>
    <t>短纤607</t>
  </si>
  <si>
    <t>花生610</t>
  </si>
  <si>
    <t>丙烯607</t>
  </si>
  <si>
    <t>普麦705</t>
  </si>
  <si>
    <t>瓶级聚酯切片607</t>
  </si>
  <si>
    <t>对二甲苯607</t>
  </si>
  <si>
    <t>早籼705</t>
  </si>
  <si>
    <t>菜籽粕609</t>
  </si>
  <si>
    <t>油菜籽609</t>
  </si>
  <si>
    <t>纯碱609</t>
  </si>
  <si>
    <t>硅铁607</t>
  </si>
  <si>
    <t>烧碱607</t>
  </si>
  <si>
    <t>锰硅607</t>
  </si>
  <si>
    <t>白糖609</t>
  </si>
  <si>
    <t>PTA609</t>
  </si>
  <si>
    <t>尿素609</t>
  </si>
  <si>
    <t>强麦705</t>
  </si>
  <si>
    <t>动力煤705</t>
  </si>
  <si>
    <t>黄大豆1号2607</t>
  </si>
  <si>
    <t>黄大豆2号2607</t>
  </si>
  <si>
    <t>胶合板2607</t>
  </si>
  <si>
    <t>bz2607</t>
  </si>
  <si>
    <t>纯苯2607</t>
  </si>
  <si>
    <t>玉米2607</t>
  </si>
  <si>
    <t>玉米淀粉2607</t>
  </si>
  <si>
    <t>苯乙烯2607</t>
  </si>
  <si>
    <t>乙二醇2609</t>
  </si>
  <si>
    <t>纤维板2607</t>
  </si>
  <si>
    <t>铁矿石2609</t>
  </si>
  <si>
    <t>焦炭2609</t>
  </si>
  <si>
    <t>鸡蛋2607</t>
  </si>
  <si>
    <t>焦煤2609</t>
  </si>
  <si>
    <t>聚乙烯2609</t>
  </si>
  <si>
    <t>l2609F</t>
  </si>
  <si>
    <t>l_f</t>
  </si>
  <si>
    <t>原木2607</t>
  </si>
  <si>
    <t>生猪2607</t>
  </si>
  <si>
    <t>豆粕2609</t>
  </si>
  <si>
    <t>棕榈油2609</t>
  </si>
  <si>
    <t>液化石油气2607</t>
  </si>
  <si>
    <t>聚丙烯2609</t>
  </si>
  <si>
    <t>pp2609F</t>
  </si>
  <si>
    <t>pp_f</t>
  </si>
  <si>
    <t>粳米2607</t>
  </si>
  <si>
    <t>聚氯乙烯2609</t>
  </si>
  <si>
    <t>v2609F</t>
  </si>
  <si>
    <t>v_f</t>
  </si>
  <si>
    <t>豆油2609</t>
  </si>
  <si>
    <t>碳酸锂2609</t>
  </si>
  <si>
    <t>钯2606</t>
  </si>
  <si>
    <t>ps2609</t>
  </si>
  <si>
    <t>多晶硅2609</t>
  </si>
  <si>
    <t>pt2608</t>
  </si>
  <si>
    <t>铂2608</t>
  </si>
  <si>
    <t>工业硅2609</t>
  </si>
  <si>
    <t>国际铜2606</t>
  </si>
  <si>
    <t>集运指数（欧线）2606</t>
  </si>
  <si>
    <t>低硫燃料油2607</t>
  </si>
  <si>
    <t>20号胶2607</t>
  </si>
  <si>
    <t>原油2607</t>
  </si>
  <si>
    <t>铸造铝合金2607</t>
  </si>
  <si>
    <t>白银2608</t>
  </si>
  <si>
    <t>铝2607</t>
  </si>
  <si>
    <t>氧化铝2609</t>
  </si>
  <si>
    <t>au2608</t>
  </si>
  <si>
    <t>黄金2608</t>
  </si>
  <si>
    <t>br2607</t>
  </si>
  <si>
    <t>丁二烯橡胶2607</t>
  </si>
  <si>
    <t>bu2609</t>
  </si>
  <si>
    <t>沥青2609</t>
  </si>
  <si>
    <t>铜2607</t>
  </si>
  <si>
    <t>燃料油2609</t>
  </si>
  <si>
    <t>热轧卷板2610</t>
  </si>
  <si>
    <t>镍2606</t>
  </si>
  <si>
    <t>胶版印刷纸2607</t>
  </si>
  <si>
    <t>铅2607</t>
  </si>
  <si>
    <t>螺纹钢2610</t>
  </si>
  <si>
    <t>天然橡胶2609</t>
  </si>
  <si>
    <t>锡2606</t>
  </si>
  <si>
    <t>纸浆2609</t>
  </si>
  <si>
    <t>不锈钢2607</t>
  </si>
  <si>
    <t>线材2607</t>
  </si>
  <si>
    <t>zn2607</t>
  </si>
  <si>
    <t>锌2607</t>
  </si>
  <si>
    <t>合约代码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</si>
</sst>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sheetMetadata" Target="metadata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054970868">
    <ddeItems>
      <ddeItem name="ASKPRICE1" advise="1">
        <values>
          <value>
            <val>7575</val>
          </value>
        </values>
      </ddeItem>
      <ddeItem name="ASKVOLUME1" advise="1">
        <values>
          <value>
            <val>3</val>
          </value>
        </values>
      </ddeItem>
      <ddeItem name="BIDPRICE1" advise="1">
        <values>
          <value>
            <val>7574</val>
          </value>
        </values>
      </ddeItem>
      <ddeItem name="BIDVOLUME1" advise="1">
        <values>
          <value>
            <val>15</val>
          </value>
        </values>
      </ddeItem>
      <ddeItem name="CLOSEPRICE" advise="1"/>
      <ddeItem name="FEE" advise="1"/>
      <ddeItem name="HIGH" advise="1">
        <values>
          <value>
            <val>7630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7574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7514</val>
          </value>
        </values>
      </ddeItem>
      <ddeItem name="LOWERLIMITPRICE" advise="1">
        <values>
          <value>
            <val>6923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49</val>
          </value>
        </values>
      </ddeItem>
      <ddeItem name="NETCHANGERATE" advise="1">
        <values>
          <value t="str">
            <val>+0.65%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7541</val>
          </value>
        </values>
      </ddeItem>
      <ddeItem name="POSIVOL" advise="1">
        <values>
          <value>
            <val>111035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1556</val>
          </value>
        </values>
      </ddeItem>
      <ddeItem name="PRECLOSE" advise="1">
        <values>
          <value>
            <val>7560</val>
          </value>
        </values>
      </ddeItem>
      <ddeItem name="PRESETTLEPRICE" advise="1">
        <values>
          <value>
            <val>7525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39244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8127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084361494">
    <ddeItems>
      <ddeItem name="ASKPRICE1" advise="1">
        <values>
          <value>
            <val>15960</val>
          </value>
        </values>
      </ddeItem>
      <ddeItem name="ASKVOLUME1" advise="1">
        <values>
          <value>
            <val>297</val>
          </value>
        </values>
      </ddeItem>
      <ddeItem name="BIDPRICE1" advise="1">
        <values>
          <value>
            <val>15955</val>
          </value>
        </values>
      </ddeItem>
      <ddeItem name="BIDVOLUME1" advise="1">
        <values>
          <value>
            <val>361</val>
          </value>
        </values>
      </ddeItem>
      <ddeItem name="CLOSEPRICE" advise="1"/>
      <ddeItem name="FEE" advise="1"/>
      <ddeItem name="HIGH" advise="1">
        <values>
          <value>
            <val>16015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15960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15860</val>
          </value>
        </values>
      </ddeItem>
      <ddeItem name="LOWERLIMITPRICE" advise="1">
        <values>
          <value>
            <val>14960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40</val>
          </value>
        </values>
      </ddeItem>
      <ddeItem name="NETCHANGERATE" advise="1">
        <values>
          <value t="str">
            <val>+0.25%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15890</val>
          </value>
        </values>
      </ddeItem>
      <ddeItem name="POSIVOL" advise="1">
        <values>
          <value>
            <val>667394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6305</val>
          </value>
        </values>
      </ddeItem>
      <ddeItem name="PRECLOSE" advise="1">
        <values>
          <value>
            <val>15895</val>
          </value>
        </values>
      </ddeItem>
      <ddeItem name="PRESETTLEPRICE" advise="1">
        <values>
          <value>
            <val>15920</val>
          </value>
        </values>
      </ddeItem>
      <ddeItem name="SETTLEPRICE" advise="1">
        <values>
          <value>
            <val>15900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243228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16880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56979649">
    <ddeItems>
      <ddeItem name="ASKPRICE1" advise="1">
        <values>
          <value>
            <val>8980</val>
          </value>
        </values>
      </ddeItem>
      <ddeItem name="ASKVOLUME1" advise="1">
        <values>
          <value>
            <val>99</val>
          </value>
        </values>
      </ddeItem>
      <ddeItem name="BIDPRICE1" advise="1">
        <values>
          <value>
            <val>8975</val>
          </value>
        </values>
      </ddeItem>
      <ddeItem name="BIDVOLUME1" advise="1">
        <values>
          <value>
            <val>90</val>
          </value>
        </values>
      </ddeItem>
      <ddeItem name="CLOSEPRICE" advise="1"/>
      <ddeItem name="FEE" advise="1"/>
      <ddeItem name="HIGH" advise="1">
        <values>
          <value>
            <val>9000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8975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8890</val>
          </value>
        </values>
      </ddeItem>
      <ddeItem name="LOWERLIMITPRICE" advise="1">
        <values>
          <value>
            <val>8290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60</val>
          </value>
        </values>
      </ddeItem>
      <ddeItem name="NETCHANGERATE" advise="1">
        <values>
          <value t="str">
            <val>+0.67%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8890</val>
          </value>
        </values>
      </ddeItem>
      <ddeItem name="POSIVOL" advise="1">
        <values>
          <value>
            <val>120340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859</val>
          </value>
        </values>
      </ddeItem>
      <ddeItem name="PRECLOSE" advise="1">
        <values>
          <value>
            <val>8900</val>
          </value>
        </values>
      </ddeItem>
      <ddeItem name="PRESETTLEPRICE" advise="1">
        <values>
          <value>
            <val>8915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28547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9540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30616114">
    <ddeItems>
      <ddeItem name="ASKPRICE1" advise="1">
        <values>
          <value>
            <val>22115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22110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22150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22110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21960</val>
          </value>
        </values>
      </ddeItem>
      <ddeItem name="LOWERLIMITPRICE" advise="1">
        <values>
          <value>
            <val>21090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140</val>
          </value>
        </values>
      </ddeItem>
      <ddeItem name="NETCHANGERATE" advise="1">
        <values>
          <value t="str">
            <val>+0.64%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21975</val>
          </value>
        </values>
      </ddeItem>
      <ddeItem name="POSIVOL" advise="1">
        <values>
          <value>
            <val>11692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-636</val>
          </value>
        </values>
      </ddeItem>
      <ddeItem name="PRECLOSE" advise="1">
        <values>
          <value>
            <val>22005</val>
          </value>
        </values>
      </ddeItem>
      <ddeItem name="PRESETTLEPRICE" advise="1">
        <values>
          <value>
            <val>21970</val>
          </value>
        </values>
      </ddeItem>
      <ddeItem name="SETTLEPRICE" advise="1">
        <values>
          <value>
            <val>22000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3674</val>
          </value>
        </values>
      </ddeItem>
      <ddeItem name="UPDATETIME" advise="1">
        <values>
          <value t="str">
            <val>09:51:39.000</val>
          </value>
        </values>
      </ddeItem>
      <ddeItem name="UPPERLIMITPRICE" advise="1">
        <values>
          <value>
            <val>22850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828427816">
    <ddeItems>
      <ddeItem name="ASKPRICE1" advise="1">
        <values>
          <value>
            <val>1036</val>
          </value>
        </values>
      </ddeItem>
      <ddeItem name="ASKVOLUME1" advise="1">
        <values>
          <value>
            <val>1264</val>
          </value>
        </values>
      </ddeItem>
      <ddeItem name="BIDPRICE1" advise="1">
        <values>
          <value>
            <val>1035</val>
          </value>
        </values>
      </ddeItem>
      <ddeItem name="BIDVOLUME1" advise="1">
        <values>
          <value>
            <val>5066</val>
          </value>
        </values>
      </ddeItem>
      <ddeItem name="CLOSEPRICE" advise="1"/>
      <ddeItem name="FEE" advise="1"/>
      <ddeItem name="HIGH" advise="1">
        <values>
          <value>
            <val>1057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1035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1015</val>
          </value>
        </values>
      </ddeItem>
      <ddeItem name="LOWERLIMITPRICE" advise="1">
        <values>
          <value>
            <val>930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12</val>
          </value>
        </values>
      </ddeItem>
      <ddeItem name="NETCHANGERATE" advise="1">
        <values>
          <value t="str">
            <val>+1.17%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1023</val>
          </value>
        </values>
      </ddeItem>
      <ddeItem name="POSIVOL" advise="1">
        <values>
          <value>
            <val>1480363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-52652</val>
          </value>
        </values>
      </ddeItem>
      <ddeItem name="PRECLOSE" advise="1">
        <values>
          <value>
            <val>1020</val>
          </value>
        </values>
      </ddeItem>
      <ddeItem name="PRESETTLEPRICE" advise="1">
        <values>
          <value>
            <val>1023</val>
          </value>
        </values>
      </ddeItem>
      <ddeItem name="SETTLEPRICE" advise="1">
        <values>
          <value>
            <val>1019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778420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1116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368900106">
    <ddeItems>
      <ddeItem name="ASKPRICE1" advise="1">
        <values>
          <value>
            <val>8511.6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8508.7999999999993</val>
          </value>
        </values>
      </ddeItem>
      <ddeItem name="BIDVOLUME1" advise="1">
        <values>
          <value>
            <val>5</val>
          </value>
        </values>
      </ddeItem>
      <ddeItem name="CLOSEPRICE" advise="1"/>
      <ddeItem name="FEE" advise="1"/>
      <ddeItem name="HIGH" advise="1">
        <values>
          <value>
            <val>8568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8510.4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8485.7999999999993</val>
          </value>
        </values>
      </ddeItem>
      <ddeItem name="LOWERLIMITPRICE" advise="1">
        <values>
          <value>
            <val>7643.8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17.399999999999636</val>
          </value>
        </values>
      </ddeItem>
      <ddeItem name="NETCHANGERATE" advise="1">
        <values>
          <value t="str">
            <val>+0.20%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8543</val>
          </value>
        </values>
      </ddeItem>
      <ddeItem name="POSIVOL" advise="1">
        <values>
          <value>
            <val>150604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-9812</val>
          </value>
        </values>
      </ddeItem>
      <ddeItem name="PRECLOSE" advise="1">
        <values>
          <value>
            <val>8469.2000000000007</val>
          </value>
        </values>
      </ddeItem>
      <ddeItem name="PRESETTLEPRICE" advise="1">
        <values>
          <value>
            <val>8493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23723</val>
          </value>
        </values>
      </ddeItem>
      <ddeItem name="UPDATETIME" advise="1">
        <values>
          <value t="str">
            <val>09:51:32.100</val>
          </value>
        </values>
      </ddeItem>
      <ddeItem name="UPPERLIMITPRICE" advise="1">
        <values>
          <value>
            <val>9342.2000000000007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313809496">
    <ddeItems>
      <ddeItem name="ASKPRICE1" advise="1">
        <values>
          <value>
            <val>4831.2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4830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4842.8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4830.2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4813</val>
          </value>
        </values>
      </ddeItem>
      <ddeItem name="LOWERLIMITPRICE" advise="1">
        <values>
          <value>
            <val>4318.8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31.599999999999454</val>
          </value>
        </values>
      </ddeItem>
      <ddeItem name="NETCHANGERATE" advise="1">
        <values>
          <value t="str">
            <val>+0.66%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4817.8</val>
          </value>
        </values>
      </ddeItem>
      <ddeItem name="POSIVOL" advise="1">
        <values>
          <value>
            <val>131620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-6873</val>
          </value>
        </values>
      </ddeItem>
      <ddeItem name="PRECLOSE" advise="1">
        <values>
          <value>
            <val>4788.2</val>
          </value>
        </values>
      </ddeItem>
      <ddeItem name="PRESETTLEPRICE" advise="1">
        <values>
          <value>
            <val>4798.6000000000004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15313</val>
          </value>
        </values>
      </ddeItem>
      <ddeItem name="UPDATETIME" advise="1">
        <values>
          <value t="str">
            <val>09:51:32.100</val>
          </value>
        </values>
      </ddeItem>
      <ddeItem name="UPPERLIMITPRICE" advise="1">
        <values>
          <value>
            <val>5278.4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349462299">
    <ddeItems>
      <ddeItem name="ASKPRICE1" advise="1">
        <values>
          <value>
            <val>2934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2933.8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2938.6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2934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2908.2</val>
          </value>
        </values>
      </ddeItem>
      <ddeItem name="LOWERLIMITPRICE" advise="1">
        <values>
          <value>
            <val>2614.1999999999998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29.400000000000091</val>
          </value>
        </values>
      </ddeItem>
      <ddeItem name="NETCHANGERATE" advise="1">
        <values>
          <value t="str">
            <val>+1.01%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2910.8</val>
          </value>
        </values>
      </ddeItem>
      <ddeItem name="POSIVOL" advise="1">
        <values>
          <value>
            <val>54533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-4418</val>
          </value>
        </values>
      </ddeItem>
      <ddeItem name="PRECLOSE" advise="1">
        <values>
          <value>
            <val>2899.2</val>
          </value>
        </values>
      </ddeItem>
      <ddeItem name="PRESETTLEPRICE" advise="1">
        <values>
          <value>
            <val>2904.6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10292</val>
          </value>
        </values>
      </ddeItem>
      <ddeItem name="UPDATETIME" advise="1">
        <values>
          <value t="str">
            <val>09:51:32.100</val>
          </value>
        </values>
      </ddeItem>
      <ddeItem name="UPPERLIMITPRICE" advise="1">
        <values>
          <value>
            <val>3195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956049872">
    <ddeItems>
      <ddeItem name="ASKPRICE1" advise="1">
        <values>
          <value>
            <val>8628.6</val>
          </value>
        </values>
      </ddeItem>
      <ddeItem name="ASKVOLUME1" advise="1">
        <values>
          <value>
            <val>3</val>
          </value>
        </values>
      </ddeItem>
      <ddeItem name="BIDPRICE1" advise="1">
        <values>
          <value>
            <val>8627.2000000000007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8685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8628.4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8611</val>
          </value>
        </values>
      </ddeItem>
      <ddeItem name="LOWERLIMITPRICE" advise="1">
        <values>
          <value>
            <val>7748.2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19.399999999999636</val>
          </value>
        </values>
      </ddeItem>
      <ddeItem name="NETCHANGERATE" advise="1">
        <values>
          <value t="str">
            <val>+0.23%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8670</val>
          </value>
        </values>
      </ddeItem>
      <ddeItem name="POSIVOL" advise="1">
        <values>
          <value>
            <val>215173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-13949</val>
          </value>
        </values>
      </ddeItem>
      <ddeItem name="PRECLOSE" advise="1">
        <values>
          <value>
            <val>8589.7999999999993</val>
          </value>
        </values>
      </ddeItem>
      <ddeItem name="PRESETTLEPRICE" advise="1">
        <values>
          <value>
            <val>8609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35507</val>
          </value>
        </values>
      </ddeItem>
      <ddeItem name="UPDATETIME" advise="1">
        <values>
          <value t="str">
            <val>09:51:31.600</val>
          </value>
        </values>
      </ddeItem>
      <ddeItem name="UPPERLIMITPRICE" advise="1">
        <values>
          <value>
            <val>9469.7999999999993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54865684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2662</val>
          </value>
        </values>
      </ddeItem>
      <ddeItem name="LONGPOSITION3862909776" advise="1">
        <values>
          <value>
            <val>0</val>
          </value>
        </values>
      </ddeItem>
      <ddeItem name="LOW" advise="1"/>
      <ddeItem name="LOWERLIMITPRICE" advise="1"/>
      <ddeItem name="MARGIN" advise="1"/>
      <ddeItem name="MTMPL3862909776" advise="1">
        <values>
          <value>
            <val>0</val>
          </value>
        </values>
      </ddeItem>
      <ddeItem name="NETCHANGE" advise="1"/>
      <ddeItem name="NETCHANGERATE" advise="1"/>
      <ddeItem name="NETVOLUME3862909776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>
        <values>
          <value>
            <val>2662</val>
          </value>
        </values>
      </ddeItem>
      <ddeItem name="PRESETTLEPRICE" advise="1">
        <values>
          <value>
            <val>2662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19:05:50.000</val>
          </value>
        </values>
      </ddeItem>
      <ddeItem name="UPPERLIMITPRICE" advise="1"/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728233129">
    <ddeItems>
      <ddeItem name="ASKPRICE1" advise="1">
        <values>
          <value>
            <val>2922</val>
          </value>
        </values>
      </ddeItem>
      <ddeItem name="ASKVOLUME1" advise="1">
        <values>
          <value>
            <val>66</val>
          </value>
        </values>
      </ddeItem>
      <ddeItem name="BIDPRICE1" advise="1">
        <values>
          <value>
            <val>2921</val>
          </value>
        </values>
      </ddeItem>
      <ddeItem name="BIDVOLUME1" advise="1">
        <values>
          <value>
            <val>167</val>
          </value>
        </values>
      </ddeItem>
      <ddeItem name="CLOSEPRICE" advise="1"/>
      <ddeItem name="FEE" advise="1"/>
      <ddeItem name="HIGH" advise="1">
        <values>
          <value>
            <val>2965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2922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2907</val>
          </value>
        </values>
      </ddeItem>
      <ddeItem name="LOWERLIMITPRICE" advise="1">
        <values>
          <value>
            <val>2613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-15</val>
          </value>
        </values>
      </ddeItem>
      <ddeItem name="NETCHANGERATE" advise="1">
        <values>
          <value t="str">
            <val>-0.51%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2910</val>
          </value>
        </values>
      </ddeItem>
      <ddeItem name="POSIVOL" advise="1">
        <values>
          <value>
            <val>720867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29986</val>
          </value>
        </values>
      </ddeItem>
      <ddeItem name="PRECLOSE" advise="1">
        <values>
          <value>
            <val>2927</val>
          </value>
        </values>
      </ddeItem>
      <ddeItem name="PRESETTLEPRICE" advise="1">
        <values>
          <value>
            <val>2937</val>
          </value>
        </values>
      </ddeItem>
      <ddeItem name="SETTLEPRICE" advise="1">
        <values>
          <value>
            <val>2939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614782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3261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31748607">
    <ddeItems>
      <ddeItem name="ASKPRICE1" advise="1">
        <values>
          <value>
            <val>9675</val>
          </value>
        </values>
      </ddeItem>
      <ddeItem name="ASKVOLUME1" advise="1">
        <values>
          <value>
            <val>8</val>
          </value>
        </values>
      </ddeItem>
      <ddeItem name="BIDPRICE1" advise="1">
        <values>
          <value>
            <val>9674</val>
          </value>
        </values>
      </ddeItem>
      <ddeItem name="BIDVOLUME1" advise="1">
        <values>
          <value>
            <val>26</val>
          </value>
        </values>
      </ddeItem>
      <ddeItem name="CLOSEPRICE" advise="1"/>
      <ddeItem name="FEE" advise="1"/>
      <ddeItem name="HIGH" advise="1">
        <values>
          <value>
            <val>9683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9675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9594</val>
          </value>
        </values>
      </ddeItem>
      <ddeItem name="LOWERLIMITPRICE" advise="1">
        <values>
          <value>
            <val>9105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-12</val>
          </value>
        </values>
      </ddeItem>
      <ddeItem name="NETCHANGERATE" advise="1">
        <values>
          <value t="str">
            <val>-0.12%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9621</val>
          </value>
        </values>
      </ddeItem>
      <ddeItem name="POSIVOL" advise="1">
        <values>
          <value>
            <val>234781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-2870</val>
          </value>
        </values>
      </ddeItem>
      <ddeItem name="PRECLOSE" advise="1">
        <values>
          <value>
            <val>9625</val>
          </value>
        </values>
      </ddeItem>
      <ddeItem name="PRESETTLEPRICE" advise="1">
        <values>
          <value>
            <val>9687</val>
          </value>
        </values>
      </ddeItem>
      <ddeItem name="SETTLEPRICE" advise="1">
        <values>
          <value>
            <val>9659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102530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10269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825889414">
    <ddeItems>
      <ddeItem name="ASKPRICE1" advise="1">
        <values>
          <value>
            <val>7604</val>
          </value>
        </values>
      </ddeItem>
      <ddeItem name="ASKVOLUME1" advise="1">
        <values>
          <value>
            <val>116</val>
          </value>
        </values>
      </ddeItem>
      <ddeItem name="BIDPRICE1" advise="1">
        <values>
          <value>
            <val>7602</val>
          </value>
        </values>
      </ddeItem>
      <ddeItem name="BIDVOLUME1" advise="1">
        <values>
          <value>
            <val>12</val>
          </value>
        </values>
      </ddeItem>
      <ddeItem name="CLOSEPRICE" advise="1"/>
      <ddeItem name="FEE" advise="1"/>
      <ddeItem name="HIGH" advise="1">
        <values>
          <value>
            <val>7730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7602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7572</val>
          </value>
        </values>
      </ddeItem>
      <ddeItem name="LOWERLIMITPRICE" advise="1">
        <values>
          <value>
            <val>6950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-208</val>
          </value>
        </values>
      </ddeItem>
      <ddeItem name="NETCHANGERATE" advise="1">
        <values>
          <value t="str">
            <val>-2.66%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7706</val>
          </value>
        </values>
      </ddeItem>
      <ddeItem name="POSIVOL" advise="1">
        <values>
          <value>
            <val>153987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-6245</val>
          </value>
        </values>
      </ddeItem>
      <ddeItem name="PRECLOSE" advise="1">
        <values>
          <value>
            <val>7710</val>
          </value>
        </values>
      </ddeItem>
      <ddeItem name="PRESETTLEPRICE" advise="1">
        <values>
          <value>
            <val>7810</val>
          </value>
        </values>
      </ddeItem>
      <ddeItem name="SETTLEPRICE" advise="1">
        <values>
          <value>
            <val>7686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135277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8670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974500988">
    <ddeItems>
      <ddeItem name="ASKPRICE1" advise="1">
        <values>
          <value>
            <val>8158</val>
          </value>
        </values>
      </ddeItem>
      <ddeItem name="ASKVOLUME1" advise="1">
        <values>
          <value>
            <val>50</val>
          </value>
        </values>
      </ddeItem>
      <ddeItem name="BIDPRICE1" advise="1">
        <values>
          <value>
            <val>8156</val>
          </value>
        </values>
      </ddeItem>
      <ddeItem name="BIDVOLUME1" advise="1">
        <values>
          <value>
            <val>212</val>
          </value>
        </values>
      </ddeItem>
      <ddeItem name="CLOSEPRICE" advise="1"/>
      <ddeItem name="FEE" advise="1"/>
      <ddeItem name="HIGH" advise="1">
        <values>
          <value>
            <val>8164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8158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8100</val>
          </value>
        </values>
      </ddeItem>
      <ddeItem name="LOWERLIMITPRICE" advise="1">
        <values>
          <value>
            <val>7656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12</val>
          </value>
        </values>
      </ddeItem>
      <ddeItem name="NETCHANGERATE" advise="1">
        <values>
          <value t="str">
            <val>+0.15%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8132</val>
          </value>
        </values>
      </ddeItem>
      <ddeItem name="POSIVOL" advise="1">
        <values>
          <value>
            <val>276058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4884</val>
          </value>
        </values>
      </ddeItem>
      <ddeItem name="PRECLOSE" advise="1">
        <values>
          <value>
            <val>8140</val>
          </value>
        </values>
      </ddeItem>
      <ddeItem name="PRESETTLEPRICE" advise="1">
        <values>
          <value>
            <val>8146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35586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8636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311310859">
    <ddeItems>
      <ddeItem name="ASKPRICE1" advise="1">
        <values>
          <value>
            <val>8517</val>
          </value>
        </values>
      </ddeItem>
      <ddeItem name="ASKVOLUME1" advise="1">
        <values>
          <value>
            <val>4</val>
          </value>
        </values>
      </ddeItem>
      <ddeItem name="BIDPRICE1" advise="1">
        <values>
          <value>
            <val>8513</val>
          </value>
        </values>
      </ddeItem>
      <ddeItem name="BIDVOLUME1" advise="1">
        <values>
          <value>
            <val>4</val>
          </value>
        </values>
      </ddeItem>
      <ddeItem name="CLOSEPRICE" advise="1"/>
      <ddeItem name="FEE" advise="1"/>
      <ddeItem name="HIGH" advise="1">
        <values>
          <value>
            <val>8645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8515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8495</val>
          </value>
        </values>
      </ddeItem>
      <ddeItem name="LOWERLIMITPRICE" advise="1">
        <values>
          <value>
            <val>7834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-94</val>
          </value>
        </values>
      </ddeItem>
      <ddeItem name="NETCHANGERATE" advise="1">
        <values>
          <value t="str">
            <val>-1.09%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8517</val>
          </value>
        </values>
      </ddeItem>
      <ddeItem name="POSIVOL" advise="1">
        <values>
          <value>
            <val>12158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-1137</val>
          </value>
        </values>
      </ddeItem>
      <ddeItem name="PRECLOSE" advise="1">
        <values>
          <value>
            <val>8579</val>
          </value>
        </values>
      </ddeItem>
      <ddeItem name="PRESETTLEPRICE" advise="1">
        <values>
          <value>
            <val>8609</val>
          </value>
        </values>
      </ddeItem>
      <ddeItem name="SETTLEPRICE" advise="1">
        <values>
          <value>
            <val>8588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8228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9384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32503168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3122</val>
          </value>
        </values>
      </ddeItem>
      <ddeItem name="LONGPOSITION3862909776" advise="1">
        <values>
          <value>
            <val>0</val>
          </value>
        </values>
      </ddeItem>
      <ddeItem name="LOW" advise="1"/>
      <ddeItem name="LOWERLIMITPRICE" advise="1"/>
      <ddeItem name="MARGIN" advise="1"/>
      <ddeItem name="MTMPL3862909776" advise="1">
        <values>
          <value>
            <val>0</val>
          </value>
        </values>
      </ddeItem>
      <ddeItem name="NETCHANGE" advise="1"/>
      <ddeItem name="NETCHANGERATE" advise="1"/>
      <ddeItem name="NETVOLUME3862909776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>
        <values>
          <value>
            <val>3122</val>
          </value>
        </values>
      </ddeItem>
      <ddeItem name="PRESETTLEPRICE" advise="1">
        <values>
          <value>
            <val>3122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19:05:50.000</val>
          </value>
        </values>
      </ddeItem>
      <ddeItem name="UPPERLIMITPRICE" advise="1"/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7121187">
    <ddeItems>
      <ddeItem name="ASKPRICE1" advise="1">
        <values>
          <value>
            <val>7740</val>
          </value>
        </values>
      </ddeItem>
      <ddeItem name="ASKVOLUME1" advise="1">
        <values>
          <value>
            <val>19</val>
          </value>
        </values>
      </ddeItem>
      <ddeItem name="BIDPRICE1" advise="1">
        <values>
          <value>
            <val>7736</val>
          </value>
        </values>
      </ddeItem>
      <ddeItem name="BIDVOLUME1" advise="1">
        <values>
          <value>
            <val>9</val>
          </value>
        </values>
      </ddeItem>
      <ddeItem name="CLOSEPRICE" advise="1"/>
      <ddeItem name="FEE" advise="1"/>
      <ddeItem name="HIGH" advise="1">
        <values>
          <value>
            <val>7930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7738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7732</val>
          </value>
        </values>
      </ddeItem>
      <ddeItem name="LOWERLIMITPRICE" advise="1">
        <values>
          <value>
            <val>7166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-314</val>
          </value>
        </values>
      </ddeItem>
      <ddeItem name="NETCHANGERATE" advise="1">
        <values>
          <value t="str">
            <val>-3.90%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7886</val>
          </value>
        </values>
      </ddeItem>
      <ddeItem name="POSIVOL" advise="1">
        <values>
          <value>
            <val>40825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-3244</val>
          </value>
        </values>
      </ddeItem>
      <ddeItem name="PRECLOSE" advise="1">
        <values>
          <value>
            <val>7906</val>
          </value>
        </values>
      </ddeItem>
      <ddeItem name="PRESETTLEPRICE" advise="1">
        <values>
          <value>
            <val>8052</val>
          </value>
        </values>
      </ddeItem>
      <ddeItem name="SETTLEPRICE" advise="1">
        <values>
          <value>
            <val>7872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70423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8938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838863961">
    <ddeItems>
      <ddeItem name="ASKPRICE1" advise="1">
        <values>
          <value>
            <val>8644</val>
          </value>
        </values>
      </ddeItem>
      <ddeItem name="ASKVOLUME1" advise="1">
        <values>
          <value>
            <val>17</val>
          </value>
        </values>
      </ddeItem>
      <ddeItem name="BIDPRICE1" advise="1">
        <values>
          <value>
            <val>8642</val>
          </value>
        </values>
      </ddeItem>
      <ddeItem name="BIDVOLUME1" advise="1">
        <values>
          <value>
            <val>4</val>
          </value>
        </values>
      </ddeItem>
      <ddeItem name="CLOSEPRICE" advise="1"/>
      <ddeItem name="FEE" advise="1"/>
      <ddeItem name="HIGH" advise="1">
        <values>
          <value>
            <val>8866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8642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8628</val>
          </value>
        </values>
      </ddeItem>
      <ddeItem name="LOWERLIMITPRICE" advise="1">
        <values>
          <value>
            <val>7930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-270</val>
          </value>
        </values>
      </ddeItem>
      <ddeItem name="NETCHANGERATE" advise="1">
        <values>
          <value t="str">
            <val>-3.03%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8742</val>
          </value>
        </values>
      </ddeItem>
      <ddeItem name="POSIVOL" advise="1">
        <values>
          <value>
            <val>163508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-20237</val>
          </value>
        </values>
      </ddeItem>
      <ddeItem name="PRECLOSE" advise="1">
        <values>
          <value>
            <val>8770</val>
          </value>
        </values>
      </ddeItem>
      <ddeItem name="PRESETTLEPRICE" advise="1">
        <values>
          <value>
            <val>8912</val>
          </value>
        </values>
      </ddeItem>
      <ddeItem name="SETTLEPRICE" advise="1">
        <values>
          <value>
            <val>8784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200555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9894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101965717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2479</val>
          </value>
        </values>
      </ddeItem>
      <ddeItem name="LONGPOSITION3862909776" advise="1">
        <values>
          <value>
            <val>0</val>
          </value>
        </values>
      </ddeItem>
      <ddeItem name="LOW" advise="1"/>
      <ddeItem name="LOWERLIMITPRICE" advise="1"/>
      <ddeItem name="MARGIN" advise="1"/>
      <ddeItem name="MTMPL3862909776" advise="1">
        <values>
          <value>
            <val>0</val>
          </value>
        </values>
      </ddeItem>
      <ddeItem name="NETCHANGE" advise="1"/>
      <ddeItem name="NETCHANGERATE" advise="1"/>
      <ddeItem name="NETVOLUME3862909776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>
        <values>
          <value>
            <val>2479</val>
          </value>
        </values>
      </ddeItem>
      <ddeItem name="PRESETTLEPRICE" advise="1">
        <values>
          <value>
            <val>2479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19:05:50.000</val>
          </value>
        </values>
      </ddeItem>
      <ddeItem name="UPPERLIMITPRICE" advise="1"/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428550180">
    <ddeItems>
      <ddeItem name="ASKPRICE1" advise="1">
        <values>
          <value>
            <val>2339</val>
          </value>
        </values>
      </ddeItem>
      <ddeItem name="ASKVOLUME1" advise="1">
        <values>
          <value>
            <val>239</val>
          </value>
        </values>
      </ddeItem>
      <ddeItem name="BIDPRICE1" advise="1">
        <values>
          <value>
            <val>2338</val>
          </value>
        </values>
      </ddeItem>
      <ddeItem name="BIDVOLUME1" advise="1">
        <values>
          <value>
            <val>499</val>
          </value>
        </values>
      </ddeItem>
      <ddeItem name="CLOSEPRICE" advise="1"/>
      <ddeItem name="FEE" advise="1"/>
      <ddeItem name="HIGH" advise="1">
        <values>
          <value>
            <val>2349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2338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2332</val>
          </value>
        </values>
      </ddeItem>
      <ddeItem name="LOWERLIMITPRICE" advise="1">
        <values>
          <value>
            <val>2194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3</val>
          </value>
        </values>
      </ddeItem>
      <ddeItem name="NETCHANGERATE" advise="1">
        <values>
          <value t="str">
            <val>+0.13%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2340</val>
          </value>
        </values>
      </ddeItem>
      <ddeItem name="POSIVOL" advise="1">
        <values>
          <value>
            <val>880044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11656</val>
          </value>
        </values>
      </ddeItem>
      <ddeItem name="PRECLOSE" advise="1">
        <values>
          <value>
            <val>2337</val>
          </value>
        </values>
      </ddeItem>
      <ddeItem name="PRESETTLEPRICE" advise="1">
        <values>
          <value>
            <val>2335</val>
          </value>
        </values>
      </ddeItem>
      <ddeItem name="SETTLEPRICE" advise="1">
        <values>
          <value>
            <val>2344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284401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2476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830650000">
    <ddeItems>
      <ddeItem name="ASKPRICE1" advise="1">
        <values>
          <value>
            <val>5740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5661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5702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5700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5699</val>
          </value>
        </values>
      </ddeItem>
      <ddeItem name="LOWERLIMITPRICE" advise="1">
        <values>
          <value>
            <val>5168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-18</val>
          </value>
        </values>
      </ddeItem>
      <ddeItem name="NETCHANGERATE" advise="1">
        <values>
          <value t="str">
            <val>-0.31%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5702</val>
          </value>
        </values>
      </ddeItem>
      <ddeItem name="POSIVOL" advise="1">
        <values>
          <value>
            <val>44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</val>
          </value>
        </values>
      </ddeItem>
      <ddeItem name="PRECLOSE" advise="1">
        <values>
          <value>
            <val>5744</val>
          </value>
        </values>
      </ddeItem>
      <ddeItem name="PRESETTLEPRICE" advise="1">
        <values>
          <value>
            <val>5718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</val>
          </value>
        </values>
      </ddeItem>
      <ddeItem name="UPDATETIME" advise="1">
        <values>
          <value t="str">
            <val>09:55:47.000</val>
          </value>
        </values>
      </ddeItem>
      <ddeItem name="UPPERLIMITPRICE" advise="1">
        <values>
          <value>
            <val>6318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059443005">
    <ddeItems>
      <ddeItem name="ASKPRICE1" advise="1">
        <values>
          <value>
            <val>1209</val>
          </value>
        </values>
      </ddeItem>
      <ddeItem name="ASKVOLUME1" advise="1">
        <values>
          <value>
            <val>628</val>
          </value>
        </values>
      </ddeItem>
      <ddeItem name="BIDPRICE1" advise="1">
        <values>
          <value>
            <val>1208</val>
          </value>
        </values>
      </ddeItem>
      <ddeItem name="BIDVOLUME1" advise="1">
        <values>
          <value>
            <val>1191</val>
          </value>
        </values>
      </ddeItem>
      <ddeItem name="CLOSEPRICE" advise="1"/>
      <ddeItem name="FEE" advise="1"/>
      <ddeItem name="HIGH" advise="1">
        <values>
          <value>
            <val>1230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1209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1177</val>
          </value>
        </values>
      </ddeItem>
      <ddeItem name="LOWERLIMITPRICE" advise="1">
        <values>
          <value>
            <val>1087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27</val>
          </value>
        </values>
      </ddeItem>
      <ddeItem name="NETCHANGERATE" advise="1">
        <values>
          <value t="str">
            <val>+2.28%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1178</val>
          </value>
        </values>
      </ddeItem>
      <ddeItem name="POSIVOL" advise="1">
        <values>
          <value>
            <val>1174395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-58816</val>
          </value>
        </values>
      </ddeItem>
      <ddeItem name="PRECLOSE" advise="1">
        <values>
          <value>
            <val>1181</val>
          </value>
        </values>
      </ddeItem>
      <ddeItem name="PRESETTLEPRICE" advise="1">
        <values>
          <value>
            <val>1182</val>
          </value>
        </values>
      </ddeItem>
      <ddeItem name="SETTLEPRICE" advise="1">
        <values>
          <value>
            <val>1183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734156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1277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03527677">
    <ddeItems>
      <ddeItem name="ASKPRICE1" advise="1">
        <values>
          <value>
            <val>6020</val>
          </value>
        </values>
      </ddeItem>
      <ddeItem name="ASKVOLUME1" advise="1">
        <values>
          <value>
            <val>48</val>
          </value>
        </values>
      </ddeItem>
      <ddeItem name="BIDPRICE1" advise="1">
        <values>
          <value>
            <val>6018</val>
          </value>
        </values>
      </ddeItem>
      <ddeItem name="BIDVOLUME1" advise="1">
        <values>
          <value>
            <val>101</val>
          </value>
        </values>
      </ddeItem>
      <ddeItem name="CLOSEPRICE" advise="1"/>
      <ddeItem name="FEE" advise="1"/>
      <ddeItem name="HIGH" advise="1">
        <values>
          <value>
            <val>6068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6018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5976</val>
          </value>
        </values>
      </ddeItem>
      <ddeItem name="LOWERLIMITPRICE" advise="1">
        <values>
          <value>
            <val>5430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178</val>
          </value>
        </values>
      </ddeItem>
      <ddeItem name="NETCHANGERATE" advise="1">
        <values>
          <value t="str">
            <val>+3.05%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5996</val>
          </value>
        </values>
      </ddeItem>
      <ddeItem name="POSIVOL" advise="1">
        <values>
          <value>
            <val>263941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20936</val>
          </value>
        </values>
      </ddeItem>
      <ddeItem name="PRECLOSE" advise="1">
        <values>
          <value>
            <val>5846</val>
          </value>
        </values>
      </ddeItem>
      <ddeItem name="PRESETTLEPRICE" advise="1">
        <values>
          <value>
            <val>5840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230690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6250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03120103">
    <ddeItems>
      <ddeItem name="ASKPRICE1" advise="1">
        <values>
          <value>
            <val>2004</val>
          </value>
        </values>
      </ddeItem>
      <ddeItem name="ASKVOLUME1" advise="1">
        <values>
          <value>
            <val>211</val>
          </value>
        </values>
      </ddeItem>
      <ddeItem name="BIDPRICE1" advise="1">
        <values>
          <value>
            <val>2003</val>
          </value>
        </values>
      </ddeItem>
      <ddeItem name="BIDVOLUME1" advise="1">
        <values>
          <value>
            <val>188</val>
          </value>
        </values>
      </ddeItem>
      <ddeItem name="CLOSEPRICE" advise="1"/>
      <ddeItem name="FEE" advise="1"/>
      <ddeItem name="HIGH" advise="1">
        <values>
          <value>
            <val>2041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2004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1983</val>
          </value>
        </values>
      </ddeItem>
      <ddeItem name="LOWERLIMITPRICE" advise="1">
        <values>
          <value>
            <val>1810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-8</val>
          </value>
        </values>
      </ddeItem>
      <ddeItem name="NETCHANGERATE" advise="1">
        <values>
          <value t="str">
            <val>-0.40%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1999</val>
          </value>
        </values>
      </ddeItem>
      <ddeItem name="POSIVOL" advise="1">
        <values>
          <value>
            <val>271881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5734</val>
          </value>
        </values>
      </ddeItem>
      <ddeItem name="PRECLOSE" advise="1">
        <values>
          <value>
            <val>2001</val>
          </value>
        </values>
      </ddeItem>
      <ddeItem name="PRESETTLEPRICE" advise="1">
        <values>
          <value>
            <val>2012</val>
          </value>
        </values>
      </ddeItem>
      <ddeItem name="SETTLEPRICE" advise="1">
        <values>
          <value>
            <val>1990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422259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2214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075707173">
    <ddeItems>
      <ddeItem name="ASKPRICE1" advise="1">
        <values>
          <value>
            <val>6000</val>
          </value>
        </values>
      </ddeItem>
      <ddeItem name="ASKVOLUME1" advise="1">
        <values>
          <value>
            <val>68</val>
          </value>
        </values>
      </ddeItem>
      <ddeItem name="BIDPRICE1" advise="1">
        <values>
          <value>
            <val>5998</val>
          </value>
        </values>
      </ddeItem>
      <ddeItem name="BIDVOLUME1" advise="1">
        <values>
          <value>
            <val>117</val>
          </value>
        </values>
      </ddeItem>
      <ddeItem name="CLOSEPRICE" advise="1"/>
      <ddeItem name="FEE" advise="1"/>
      <ddeItem name="HIGH" advise="1">
        <values>
          <value>
            <val>6046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5998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5954</val>
          </value>
        </values>
      </ddeItem>
      <ddeItem name="LOWERLIMITPRICE" advise="1">
        <values>
          <value>
            <val>5460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126</val>
          </value>
        </values>
      </ddeItem>
      <ddeItem name="NETCHANGERATE" advise="1">
        <values>
          <value t="str">
            <val>+2.15%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5976</val>
          </value>
        </values>
      </ddeItem>
      <ddeItem name="POSIVOL" advise="1">
        <values>
          <value>
            <val>372766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-18215</val>
          </value>
        </values>
      </ddeItem>
      <ddeItem name="PRECLOSE" advise="1">
        <values>
          <value>
            <val>5876</val>
          </value>
        </values>
      </ddeItem>
      <ddeItem name="PRESETTLEPRICE" advise="1">
        <values>
          <value>
            <val>5872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196778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6284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902000512">
    <ddeItems>
      <ddeItem name="ASKPRICE1" advise="1">
        <values>
          <value>
            <val>5367</val>
          </value>
        </values>
      </ddeItem>
      <ddeItem name="ASKVOLUME1" advise="1">
        <values>
          <value>
            <val>89</val>
          </value>
        </values>
      </ddeItem>
      <ddeItem name="BIDPRICE1" advise="1">
        <values>
          <value>
            <val>5366</val>
          </value>
        </values>
      </ddeItem>
      <ddeItem name="BIDVOLUME1" advise="1">
        <values>
          <value>
            <val>314</val>
          </value>
        </values>
      </ddeItem>
      <ddeItem name="CLOSEPRICE" advise="1"/>
      <ddeItem name="FEE" advise="1"/>
      <ddeItem name="HIGH" advise="1">
        <values>
          <value>
            <val>5378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5367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5349</val>
          </value>
        </values>
      </ddeItem>
      <ddeItem name="LOWERLIMITPRICE" advise="1">
        <values>
          <value>
            <val>5102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-4</val>
          </value>
        </values>
      </ddeItem>
      <ddeItem name="NETCHANGERATE" advise="1">
        <values>
          <value t="str">
            <val>-0.07%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5357</val>
          </value>
        </values>
      </ddeItem>
      <ddeItem name="POSIVOL" advise="1">
        <values>
          <value>
            <val>664046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13371</val>
          </value>
        </values>
      </ddeItem>
      <ddeItem name="PRECLOSE" advise="1">
        <values>
          <value>
            <val>5368</val>
          </value>
        </values>
      </ddeItem>
      <ddeItem name="PRESETTLEPRICE" advise="1">
        <values>
          <value>
            <val>5371</val>
          </value>
        </values>
      </ddeItem>
      <ddeItem name="SETTLEPRICE" advise="1">
        <values>
          <value>
            <val>5359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196953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5640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379055600">
    <ddeItems>
      <ddeItem name="ASKPRICE1" advise="1">
        <values>
          <value>
            <val>6034</val>
          </value>
        </values>
      </ddeItem>
      <ddeItem name="ASKVOLUME1" advise="1">
        <values>
          <value>
            <val>256</val>
          </value>
        </values>
      </ddeItem>
      <ddeItem name="BIDPRICE1" advise="1">
        <values>
          <value>
            <val>6032</val>
          </value>
        </values>
      </ddeItem>
      <ddeItem name="BIDVOLUME1" advise="1">
        <values>
          <value>
            <val>53</val>
          </value>
        </values>
      </ddeItem>
      <ddeItem name="CLOSEPRICE" advise="1"/>
      <ddeItem name="FEE" advise="1"/>
      <ddeItem name="HIGH" advise="1">
        <values>
          <value>
            <val>6160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6032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6014</val>
          </value>
        </values>
      </ddeItem>
      <ddeItem name="LOWERLIMITPRICE" advise="1">
        <values>
          <value>
            <val>5528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-180</val>
          </value>
        </values>
      </ddeItem>
      <ddeItem name="NETCHANGERATE" advise="1">
        <values>
          <value t="str">
            <val>-2.90%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6096</val>
          </value>
        </values>
      </ddeItem>
      <ddeItem name="POSIVOL" advise="1">
        <values>
          <value>
            <val>1141272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4494</val>
          </value>
        </values>
      </ddeItem>
      <ddeItem name="PRECLOSE" advise="1">
        <values>
          <value>
            <val>6136</val>
          </value>
        </values>
      </ddeItem>
      <ddeItem name="PRESETTLEPRICE" advise="1">
        <values>
          <value>
            <val>6212</val>
          </value>
        </values>
      </ddeItem>
      <ddeItem name="SETTLEPRICE" advise="1">
        <values>
          <value>
            <val>6122</val>
          </value>
        </values>
      </ddeItem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665614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6896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429849181">
    <ddeItems>
      <ddeItem name="ASKPRICE1" advise="1">
        <values>
          <value>
            <val>1846</val>
          </value>
        </values>
      </ddeItem>
      <ddeItem name="ASKVOLUME1" advise="1">
        <values>
          <value>
            <val>139</val>
          </value>
        </values>
      </ddeItem>
      <ddeItem name="BIDPRICE1" advise="1">
        <values>
          <value>
            <val>1845</val>
          </value>
        </values>
      </ddeItem>
      <ddeItem name="BIDVOLUME1" advise="1">
        <values>
          <value>
            <val>228</val>
          </value>
        </values>
      </ddeItem>
      <ddeItem name="CLOSEPRICE" advise="1"/>
      <ddeItem name="FEE" advise="1"/>
      <ddeItem name="HIGH" advise="1">
        <values>
          <value>
            <val>1862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1846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1840</val>
          </value>
        </values>
      </ddeItem>
      <ddeItem name="LOWERLIMITPRICE" advise="1">
        <values>
          <value>
            <val>1698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20</val>
          </value>
        </values>
      </ddeItem>
      <ddeItem name="NETCHANGERATE" advise="1">
        <values>
          <value t="str">
            <val>+1.10%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1860</val>
          </value>
        </values>
      </ddeItem>
      <ddeItem name="POSIVOL" advise="1">
        <values>
          <value>
            <val>333752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7115</val>
          </value>
        </values>
      </ddeItem>
      <ddeItem name="PRECLOSE" advise="1">
        <values>
          <value>
            <val>1826</val>
          </value>
        </values>
      </ddeItem>
      <ddeItem name="PRESETTLEPRICE" advise="1">
        <values>
          <value>
            <val>1826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134870</val>
          </value>
        </values>
      </ddeItem>
      <ddeItem name="UPDATETIME" advise="1">
        <values>
          <value t="str">
            <val>09:51:31.000</val>
          </value>
        </values>
      </ddeItem>
      <ddeItem name="UPPERLIMITPRICE" advise="1">
        <values>
          <value>
            <val>1954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163251780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3198</val>
          </value>
        </values>
      </ddeItem>
      <ddeItem name="LONGPOSITION3862909776" advise="1">
        <values>
          <value>
            <val>0</val>
          </value>
        </values>
      </ddeItem>
      <ddeItem name="LOW" advise="1"/>
      <ddeItem name="LOWERLIMITPRICE" advise="1"/>
      <ddeItem name="MARGIN" advise="1"/>
      <ddeItem name="MTMPL3862909776" advise="1">
        <values>
          <value>
            <val>0</val>
          </value>
        </values>
      </ddeItem>
      <ddeItem name="NETCHANGE" advise="1"/>
      <ddeItem name="NETCHANGERATE" advise="1"/>
      <ddeItem name="NETVOLUME3862909776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>
        <values>
          <value>
            <val>3198</val>
          </value>
        </values>
      </ddeItem>
      <ddeItem name="PRESETTLEPRICE" advise="1">
        <values>
          <value>
            <val>3198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19:05:50.000</val>
          </value>
        </values>
      </ddeItem>
      <ddeItem name="UPPERLIMITPRICE" advise="1"/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631996662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801.4</val>
          </value>
        </values>
      </ddeItem>
      <ddeItem name="LONGPOSITION3862909776" advise="1">
        <values>
          <value>
            <val>0</val>
          </value>
        </values>
      </ddeItem>
      <ddeItem name="LOW" advise="1"/>
      <ddeItem name="LOWERLIMITPRICE" advise="1"/>
      <ddeItem name="MARGIN" advise="1"/>
      <ddeItem name="MTMPL3862909776" advise="1">
        <values>
          <value>
            <val>0</val>
          </value>
        </values>
      </ddeItem>
      <ddeItem name="NETCHANGE" advise="1"/>
      <ddeItem name="NETCHANGERATE" advise="1"/>
      <ddeItem name="NETVOLUME3862909776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>
        <values>
          <value>
            <val>801.4</val>
          </value>
        </values>
      </ddeItem>
      <ddeItem name="PRESETTLEPRICE" advise="1">
        <values>
          <value>
            <val>801.4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19:05:50.000</val>
          </value>
        </values>
      </ddeItem>
      <ddeItem name="UPPERLIMITPRICE" advise="1"/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082529788">
    <ddeItems>
      <ddeItem name="ASKPRICE1" advise="1">
        <values>
          <value>
            <val>4886</val>
          </value>
        </values>
      </ddeItem>
      <ddeItem name="ASKVOLUME1" advise="1">
        <values>
          <value>
            <val>107</val>
          </value>
        </values>
      </ddeItem>
      <ddeItem name="BIDPRICE1" advise="1">
        <values>
          <value>
            <val>4885</val>
          </value>
        </values>
      </ddeItem>
      <ddeItem name="BIDVOLUME1" advise="1">
        <values>
          <value>
            <val>146</val>
          </value>
        </values>
      </ddeItem>
      <ddeItem name="CLOSEPRICE" advise="1"/>
      <ddeItem name="FEE" advise="1"/>
      <ddeItem name="HIGH" advise="1">
        <values>
          <value>
            <val>4888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4886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4770</val>
          </value>
        </values>
      </ddeItem>
      <ddeItem name="LOWERLIMITPRICE" advise="1">
        <values>
          <value>
            <val>4468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133</val>
          </value>
        </values>
      </ddeItem>
      <ddeItem name="NETCHANGERATE" advise="1">
        <values>
          <value t="str">
            <val>+2.80%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4780</val>
          </value>
        </values>
      </ddeItem>
      <ddeItem name="POSIVOL" advise="1">
        <values>
          <value>
            <val>301696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14190</val>
          </value>
        </values>
      </ddeItem>
      <ddeItem name="PRECLOSE" advise="1">
        <values>
          <value>
            <val>4784</val>
          </value>
        </values>
      </ddeItem>
      <ddeItem name="PRESETTLEPRICE" advise="1">
        <values>
          <value>
            <val>4753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369323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5038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268854126">
    <ddeItems>
      <ddeItem name="ASKPRICE1" advise="1">
        <values>
          <value>
            <val>23130</val>
          </value>
        </values>
      </ddeItem>
      <ddeItem name="ASKVOLUME1" advise="1">
        <values>
          <value>
            <val>7</val>
          </value>
        </values>
      </ddeItem>
      <ddeItem name="BIDPRICE1" advise="1">
        <values>
          <value>
            <val>23125</val>
          </value>
        </values>
      </ddeItem>
      <ddeItem name="BIDVOLUME1" advise="1">
        <values>
          <value>
            <val>11</val>
          </value>
        </values>
      </ddeItem>
      <ddeItem name="CLOSEPRICE" advise="1"/>
      <ddeItem name="FEE" advise="1"/>
      <ddeItem name="HIGH" advise="1">
        <values>
          <value>
            <val>23200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23125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22980</val>
          </value>
        </values>
      </ddeItem>
      <ddeItem name="LOWERLIMITPRICE" advise="1">
        <values>
          <value>
            <val>21270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5</val>
          </value>
        </values>
      </ddeItem>
      <ddeItem name="NETCHANGERATE" advise="1">
        <values>
          <value t="str">
            <val>+0.02%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23175</val>
          </value>
        </values>
      </ddeItem>
      <ddeItem name="POSIVOL" advise="1">
        <values>
          <value>
            <val>15077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-22</val>
          </value>
        </values>
      </ddeItem>
      <ddeItem name="PRECLOSE" advise="1">
        <values>
          <value>
            <val>23105</val>
          </value>
        </values>
      </ddeItem>
      <ddeItem name="PRESETTLEPRICE" advise="1">
        <values>
          <value>
            <val>23120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3300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24965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99230416">
    <ddeItems>
      <ddeItem name="ASKPRICE1" advise="1">
        <values>
          <value>
            <val>19117</val>
          </value>
        </values>
      </ddeItem>
      <ddeItem name="ASKVOLUME1" advise="1">
        <values>
          <value>
            <val>8</val>
          </value>
        </values>
      </ddeItem>
      <ddeItem name="BIDPRICE1" advise="1">
        <values>
          <value>
            <val>19116</val>
          </value>
        </values>
      </ddeItem>
      <ddeItem name="BIDVOLUME1" advise="1">
        <values>
          <value>
            <val>3</val>
          </value>
        </values>
      </ddeItem>
      <ddeItem name="CLOSEPRICE" advise="1"/>
      <ddeItem name="FEE" advise="1"/>
      <ddeItem name="HIGH" advise="1">
        <values>
          <value>
            <val>19288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19117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18378</val>
          </value>
        </values>
      </ddeItem>
      <ddeItem name="LOWERLIMITPRICE" advise="1">
        <values>
          <value>
            <val>14869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530</val>
          </value>
        </values>
      </ddeItem>
      <ddeItem name="NETCHANGERATE" advise="1">
        <values>
          <value t="str">
            <val>+2.85%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18634</val>
          </value>
        </values>
      </ddeItem>
      <ddeItem name="POSIVOL" advise="1">
        <values>
          <value>
            <val>243341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10267</val>
          </value>
        </values>
      </ddeItem>
      <ddeItem name="PRECLOSE" advise="1">
        <values>
          <value>
            <val>18681</val>
          </value>
        </values>
      </ddeItem>
      <ddeItem name="PRESETTLEPRICE" advise="1">
        <values>
          <value>
            <val>18587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611344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22304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27438882">
    <ddeItems>
      <ddeItem name="ASKPRICE1" advise="1">
        <values>
          <value>
            <val>24500</val>
          </value>
        </values>
      </ddeItem>
      <ddeItem name="ASKVOLUME1" advise="1">
        <values>
          <value>
            <val>141</val>
          </value>
        </values>
      </ddeItem>
      <ddeItem name="BIDPRICE1" advise="1">
        <values>
          <value>
            <val>24495</val>
          </value>
        </values>
      </ddeItem>
      <ddeItem name="BIDVOLUME1" advise="1">
        <values>
          <value>
            <val>70</val>
          </value>
        </values>
      </ddeItem>
      <ddeItem name="CLOSEPRICE" advise="1"/>
      <ddeItem name="FEE" advise="1"/>
      <ddeItem name="HIGH" advise="1">
        <values>
          <value>
            <val>24570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24500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24375</val>
          </value>
        </values>
      </ddeItem>
      <ddeItem name="LOWERLIMITPRICE" advise="1">
        <values>
          <value>
            <val>22050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-5</val>
          </value>
        </values>
      </ddeItem>
      <ddeItem name="NETCHANGERATE" advise="1">
        <values>
          <value t="str">
            <val>-0.02%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24505</val>
          </value>
        </values>
      </ddeItem>
      <ddeItem name="POSIVOL" advise="1">
        <values>
          <value>
            <val>285405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7747</val>
          </value>
        </values>
      </ddeItem>
      <ddeItem name="PRECLOSE" advise="1">
        <values>
          <value>
            <val>24505</val>
          </value>
        </values>
      </ddeItem>
      <ddeItem name="PRESETTLEPRICE" advise="1">
        <values>
          <value>
            <val>24505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120038</val>
          </value>
        </values>
      </ddeItem>
      <ddeItem name="UPDATETIME" advise="1">
        <values>
          <value t="str">
            <val>09:51:31.500</val>
          </value>
        </values>
      </ddeItem>
      <ddeItem name="UPPERLIMITPRICE" advise="1">
        <values>
          <value>
            <val>26955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659205038">
    <ddeItems>
      <ddeItem name="ASKPRICE1" advise="1">
        <values>
          <value>
            <val>2723</val>
          </value>
        </values>
      </ddeItem>
      <ddeItem name="ASKVOLUME1" advise="1">
        <values>
          <value>
            <val>66</val>
          </value>
        </values>
      </ddeItem>
      <ddeItem name="BIDPRICE1" advise="1">
        <values>
          <value>
            <val>2722</val>
          </value>
        </values>
      </ddeItem>
      <ddeItem name="BIDVOLUME1" advise="1">
        <values>
          <value>
            <val>84</val>
          </value>
        </values>
      </ddeItem>
      <ddeItem name="CLOSEPRICE" advise="1"/>
      <ddeItem name="FEE" advise="1"/>
      <ddeItem name="HIGH" advise="1">
        <values>
          <value>
            <val>2741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2723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2685</val>
          </value>
        </values>
      </ddeItem>
      <ddeItem name="LOWERLIMITPRICE" advise="1">
        <values>
          <value>
            <val>2439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13</val>
          </value>
        </values>
      </ddeItem>
      <ddeItem name="NETCHANGERATE" advise="1">
        <values>
          <value t="str">
            <val>+0.48%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2713</val>
          </value>
        </values>
      </ddeItem>
      <ddeItem name="POSIVOL" advise="1">
        <values>
          <value>
            <val>414738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3223</val>
          </value>
        </values>
      </ddeItem>
      <ddeItem name="PRECLOSE" advise="1">
        <values>
          <value>
            <val>2717</val>
          </value>
        </values>
      </ddeItem>
      <ddeItem name="PRESETTLEPRICE" advise="1">
        <values>
          <value>
            <val>2710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255171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2981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42179582">
    <ddeItems>
      <ddeItem name="ASKPRICE1" advise="1">
        <values>
          <value>
            <val>3574</val>
          </value>
        </values>
      </ddeItem>
      <ddeItem name="ASKVOLUME1" advise="1">
        <values>
          <value>
            <val>61</val>
          </value>
        </values>
      </ddeItem>
      <ddeItem name="BIDPRICE1" advise="1">
        <values>
          <value>
            <val>3573</val>
          </value>
        </values>
      </ddeItem>
      <ddeItem name="BIDVOLUME1" advise="1">
        <values>
          <value>
            <val>227</val>
          </value>
        </values>
      </ddeItem>
      <ddeItem name="CLOSEPRICE" advise="1"/>
      <ddeItem name="FEE" advise="1"/>
      <ddeItem name="HIGH" advise="1">
        <values>
          <value>
            <val>3590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3574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3553</val>
          </value>
        </values>
      </ddeItem>
      <ddeItem name="LOWERLIMITPRICE" advise="1">
        <values>
          <value>
            <val>3375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-16</val>
          </value>
        </values>
      </ddeItem>
      <ddeItem name="NETCHANGERATE" advise="1">
        <values>
          <value t="str">
            <val>-0.45%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3579</val>
          </value>
        </values>
      </ddeItem>
      <ddeItem name="POSIVOL" advise="1">
        <values>
          <value>
            <val>164836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-7399</val>
          </value>
        </values>
      </ddeItem>
      <ddeItem name="PRECLOSE" advise="1">
        <values>
          <value>
            <val>3579</val>
          </value>
        </values>
      </ddeItem>
      <ddeItem name="PRESETTLEPRICE" advise="1">
        <values>
          <value>
            <val>3590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98644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3805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760010233">
    <ddeItems>
      <ddeItem name="ASKPRICE1" advise="1">
        <values>
          <value>
            <val>146.6</val>
          </value>
        </values>
      </ddeItem>
      <ddeItem name="ASKVOLUME1" advise="1">
        <values>
          <value>
            <val>3</val>
          </value>
        </values>
      </ddeItem>
      <ddeItem name="BIDPRICE1" advise="1">
        <values>
          <value>
            <val>146.19999999999999</val>
          </value>
        </values>
      </ddeItem>
      <ddeItem name="BIDVOLUME1" advise="1">
        <values>
          <value>
            <val>14</val>
          </value>
        </values>
      </ddeItem>
      <ddeItem name="CLOSEPRICE" advise="1"/>
      <ddeItem name="FEE" advise="1"/>
      <ddeItem name="HIGH" advise="1">
        <values>
          <value>
            <val>146.9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146.1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144.75</val>
          </value>
        </values>
      </ddeItem>
      <ddeItem name="LOWERLIMITPRICE" advise="1">
        <values>
          <value>
            <val>139.15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-0.59999999999999432</val>
          </value>
        </values>
      </ddeItem>
      <ddeItem name="NETCHANGERATE" advise="1">
        <values>
          <value t="str">
            <val>-0.41%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144.75</val>
          </value>
        </values>
      </ddeItem>
      <ddeItem name="POSIVOL" advise="1">
        <values>
          <value>
            <val>49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</val>
          </value>
        </values>
      </ddeItem>
      <ddeItem name="PRECLOSE" advise="1">
        <values>
          <value>
            <val>146.55000000000001</val>
          </value>
        </values>
      </ddeItem>
      <ddeItem name="PRESETTLEPRICE" advise="1">
        <values>
          <value>
            <val>146.69999999999999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57</val>
          </value>
        </values>
      </ddeItem>
      <ddeItem name="UPDATETIME" advise="1">
        <values>
          <value t="str">
            <val>09:51:38.757</val>
          </value>
        </values>
      </ddeItem>
      <ddeItem name="UPPERLIMITPRICE" advise="1">
        <values>
          <value>
            <val>153.75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217343398">
    <ddeItems>
      <ddeItem name="ASKPRICE1" advise="1">
        <values>
          <value>
            <val>93730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93710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94100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93700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92550</val>
          </value>
        </values>
      </ddeItem>
      <ddeItem name="LOWERLIMITPRICE" advise="1">
        <values>
          <value>
            <val>83300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1140</val>
          </value>
        </values>
      </ddeItem>
      <ddeItem name="NETCHANGERATE" advise="1">
        <values>
          <value t="str">
            <val>+1.23%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93030</val>
          </value>
        </values>
      </ddeItem>
      <ddeItem name="POSIVOL" advise="1">
        <values>
          <value>
            <val>6229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-1796</val>
          </value>
        </values>
      </ddeItem>
      <ddeItem name="PRECLOSE" advise="1">
        <values>
          <value>
            <val>93030</val>
          </value>
        </values>
      </ddeItem>
      <ddeItem name="PRESETTLEPRICE" advise="1">
        <values>
          <value>
            <val>92560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6025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101810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53393752">
    <ddeItems>
      <ddeItem name="ASKPRICE1" advise="1">
        <values>
          <value>
            <val>2338</val>
          </value>
        </values>
      </ddeItem>
      <ddeItem name="ASKVOLUME1" advise="1">
        <values>
          <value>
            <val>3259</val>
          </value>
        </values>
      </ddeItem>
      <ddeItem name="BIDPRICE1" advise="1">
        <values>
          <value>
            <val>2337</val>
          </value>
        </values>
      </ddeItem>
      <ddeItem name="BIDVOLUME1" advise="1">
        <values>
          <value>
            <val>2124</val>
          </value>
        </values>
      </ddeItem>
      <ddeItem name="CLOSEPRICE" advise="1"/>
      <ddeItem name="FEE" advise="1"/>
      <ddeItem name="HIGH" advise="1">
        <values>
          <value>
            <val>2343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2337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2330</val>
          </value>
        </values>
      </ddeItem>
      <ddeItem name="LOWERLIMITPRICE" advise="1">
        <values>
          <value>
            <val>2194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4</val>
          </value>
        </values>
      </ddeItem>
      <ddeItem name="NETCHANGERATE" advise="1">
        <values>
          <value t="str">
            <val>+0.17%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2333</val>
          </value>
        </values>
      </ddeItem>
      <ddeItem name="POSIVOL" advise="1">
        <values>
          <value>
            <val>1174811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-10990</val>
          </value>
        </values>
      </ddeItem>
      <ddeItem name="PRECLOSE" advise="1">
        <values>
          <value>
            <val>2331</val>
          </value>
        </values>
      </ddeItem>
      <ddeItem name="PRESETTLEPRICE" advise="1">
        <values>
          <value>
            <val>2333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355551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2472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562238629">
    <ddeItems>
      <ddeItem name="ASKPRICE1" advise="1">
        <values>
          <value>
            <val>2673</val>
          </value>
        </values>
      </ddeItem>
      <ddeItem name="ASKVOLUME1" advise="1">
        <values>
          <value>
            <val>494</val>
          </value>
        </values>
      </ddeItem>
      <ddeItem name="BIDPRICE1" advise="1">
        <values>
          <value>
            <val>2672</val>
          </value>
        </values>
      </ddeItem>
      <ddeItem name="BIDVOLUME1" advise="1">
        <values>
          <value>
            <val>232</val>
          </value>
        </values>
      </ddeItem>
      <ddeItem name="CLOSEPRICE" advise="1"/>
      <ddeItem name="FEE" advise="1"/>
      <ddeItem name="HIGH" advise="1">
        <values>
          <value>
            <val>2676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2673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2659</val>
          </value>
        </values>
      </ddeItem>
      <ddeItem name="LOWERLIMITPRICE" advise="1">
        <values>
          <value>
            <val>2530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10</val>
          </value>
        </values>
      </ddeItem>
      <ddeItem name="NETCHANGERATE" advise="1">
        <values>
          <value t="str">
            <val>+0.38%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2661</val>
          </value>
        </values>
      </ddeItem>
      <ddeItem name="POSIVOL" advise="1">
        <values>
          <value>
            <val>326005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2007</val>
          </value>
        </values>
      </ddeItem>
      <ddeItem name="PRECLOSE" advise="1">
        <values>
          <value>
            <val>2661</val>
          </value>
        </values>
      </ddeItem>
      <ddeItem name="PRESETTLEPRICE" advise="1">
        <values>
          <value>
            <val>2663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97268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2796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111998957">
    <ddeItems>
      <ddeItem name="ASKPRICE1" advise="1">
        <values>
          <value>
            <val>105750</val>
          </value>
        </values>
      </ddeItem>
      <ddeItem name="ASKVOLUME1" advise="1">
        <values>
          <value>
            <val>4</val>
          </value>
        </values>
      </ddeItem>
      <ddeItem name="BIDPRICE1" advise="1">
        <values>
          <value>
            <val>105740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106180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105750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104420</val>
          </value>
        </values>
      </ddeItem>
      <ddeItem name="LOWERLIMITPRICE" advise="1">
        <values>
          <value>
            <val>94030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1270</val>
          </value>
        </values>
      </ddeItem>
      <ddeItem name="NETCHANGERATE" advise="1">
        <values>
          <value t="str">
            <val>+1.22%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104870</val>
          </value>
        </values>
      </ddeItem>
      <ddeItem name="POSIVOL" advise="1">
        <values>
          <value>
            <val>178243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6616</val>
          </value>
        </values>
      </ddeItem>
      <ddeItem name="PRECLOSE" advise="1">
        <values>
          <value>
            <val>104870</val>
          </value>
        </values>
      </ddeItem>
      <ddeItem name="PRESETTLEPRICE" advise="1">
        <values>
          <value>
            <val>104480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59094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114920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298305198">
    <ddeItems>
      <ddeItem name="ASKPRICE1" advise="1">
        <values>
          <value>
            <val>9093</val>
          </value>
        </values>
      </ddeItem>
      <ddeItem name="ASKVOLUME1" advise="1">
        <values>
          <value>
            <val>17</val>
          </value>
        </values>
      </ddeItem>
      <ddeItem name="BIDPRICE1" advise="1">
        <values>
          <value>
            <val>9092</val>
          </value>
        </values>
      </ddeItem>
      <ddeItem name="BIDVOLUME1" advise="1">
        <values>
          <value>
            <val>35</val>
          </value>
        </values>
      </ddeItem>
      <ddeItem name="CLOSEPRICE" advise="1"/>
      <ddeItem name="FEE" advise="1"/>
      <ddeItem name="HIGH" advise="1">
        <values>
          <value>
            <val>9352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9093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9075</val>
          </value>
        </values>
      </ddeItem>
      <ddeItem name="LOWERLIMITPRICE" advise="1">
        <values>
          <value>
            <val>8235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-159</val>
          </value>
        </values>
      </ddeItem>
      <ddeItem name="NETCHANGERATE" advise="1">
        <values>
          <value t="str">
            <val>-1.72%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9245</val>
          </value>
        </values>
      </ddeItem>
      <ddeItem name="POSIVOL" advise="1">
        <values>
          <value>
            <val>372076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-430</val>
          </value>
        </values>
      </ddeItem>
      <ddeItem name="PRECLOSE" advise="1">
        <values>
          <value>
            <val>9284</val>
          </value>
        </values>
      </ddeItem>
      <ddeItem name="PRESETTLEPRICE" advise="1">
        <values>
          <value>
            <val>9252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327438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10269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775869195">
    <ddeItems>
      <ddeItem name="ASKPRICE1" advise="1">
        <values>
          <value>
            <val>2964.5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2960.5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2985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2960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2868.5</val>
          </value>
        </values>
      </ddeItem>
      <ddeItem name="LOWERLIMITPRICE" advise="1">
        <values>
          <value>
            <val>2401.5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-42</val>
          </value>
        </values>
      </ddeItem>
      <ddeItem name="NETCHANGERATE" advise="1">
        <values>
          <value t="str">
            <val>-1.40%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2918</val>
          </value>
        </values>
      </ddeItem>
      <ddeItem name="POSIVOL" advise="1">
        <values>
          <value>
            <val>19768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-907</val>
          </value>
        </values>
      </ddeItem>
      <ddeItem name="PRECLOSE" advise="1">
        <values>
          <value>
            <val>3000</val>
          </value>
        </values>
      </ddeItem>
      <ddeItem name="PRESETTLEPRICE" advise="1">
        <values>
          <value>
            <val>3002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9295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3602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418312437">
    <ddeItems>
      <ddeItem name="ASKPRICE1" advise="1">
        <values>
          <value>
            <val>4520</val>
          </value>
        </values>
      </ddeItem>
      <ddeItem name="ASKVOLUME1" advise="1">
        <values>
          <value>
            <val>23</val>
          </value>
        </values>
      </ddeItem>
      <ddeItem name="BIDPRICE1" advise="1">
        <values>
          <value>
            <val>4519</val>
          </value>
        </values>
      </ddeItem>
      <ddeItem name="BIDVOLUME1" advise="1">
        <values>
          <value>
            <val>18</val>
          </value>
        </values>
      </ddeItem>
      <ddeItem name="CLOSEPRICE" advise="1"/>
      <ddeItem name="FEE" advise="1"/>
      <ddeItem name="HIGH" advise="1">
        <values>
          <value>
            <val>4575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4520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4487</val>
          </value>
        </values>
      </ddeItem>
      <ddeItem name="LOWERLIMITPRICE" advise="1">
        <values>
          <value>
            <val>4082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-66</val>
          </value>
        </values>
      </ddeItem>
      <ddeItem name="NETCHANGERATE" advise="1">
        <values>
          <value t="str">
            <val>-1.44%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4515</val>
          </value>
        </values>
      </ddeItem>
      <ddeItem name="POSIVOL" advise="1">
        <values>
          <value>
            <val>323291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-3254</val>
          </value>
        </values>
      </ddeItem>
      <ddeItem name="PRECLOSE" advise="1">
        <values>
          <value>
            <val>4550</val>
          </value>
        </values>
      </ddeItem>
      <ddeItem name="PRESETTLEPRICE" advise="1">
        <values>
          <value>
            <val>4586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248085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5090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124025064">
    <ddeItems>
      <ddeItem name="ASKPRICE1" advise="1">
        <values>
          <value>
            <val>1292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1291.5</val>
          </value>
        </values>
      </ddeItem>
      <ddeItem name="BIDVOLUME1" advise="1">
        <values>
          <value>
            <val>8</val>
          </value>
        </values>
      </ddeItem>
      <ddeItem name="CLOSEPRICE" advise="1"/>
      <ddeItem name="FEE" advise="1"/>
      <ddeItem name="HIGH" advise="1">
        <values>
          <value>
            <val>1299.5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1292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1287.5</val>
          </value>
        </values>
      </ddeItem>
      <ddeItem name="LOWERLIMITPRICE" advise="1">
        <values>
          <value>
            <val>1231.5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3</val>
          </value>
        </values>
      </ddeItem>
      <ddeItem name="NETCHANGERATE" advise="1">
        <values>
          <value t="str">
            <val>+0.23%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1299.5</val>
          </value>
        </values>
      </ddeItem>
      <ddeItem name="POSIVOL" advise="1">
        <values>
          <value>
            <val>4892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92</val>
          </value>
        </values>
      </ddeItem>
      <ddeItem name="PRECLOSE" advise="1">
        <values>
          <value>
            <val>1296</val>
          </value>
        </values>
      </ddeItem>
      <ddeItem name="PRESETTLEPRICE" advise="1">
        <values>
          <value>
            <val>1289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541</val>
          </value>
        </values>
      </ddeItem>
      <ddeItem name="UPDATETIME" advise="1">
        <values>
          <value t="str">
            <val>09:51:41.257</val>
          </value>
        </values>
      </ddeItem>
      <ddeItem name="UPPERLIMITPRICE" advise="1">
        <values>
          <value>
            <val>1360.5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568448255">
    <ddeItems>
      <ddeItem name="ASKPRICE1" advise="1">
        <values>
          <value>
            <val>3892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3891</val>
          </value>
        </values>
      </ddeItem>
      <ddeItem name="BIDVOLUME1" advise="1">
        <values>
          <value>
            <val>25</val>
          </value>
        </values>
      </ddeItem>
      <ddeItem name="CLOSEPRICE" advise="1"/>
      <ddeItem name="FEE" advise="1"/>
      <ddeItem name="HIGH" advise="1">
        <values>
          <value>
            <val>4085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3892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3883</val>
          </value>
        </values>
      </ddeItem>
      <ddeItem name="LOWERLIMITPRICE" advise="1">
        <values>
          <value>
            <val>3296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-228</val>
          </value>
        </values>
      </ddeItem>
      <ddeItem name="NETCHANGERATE" advise="1">
        <values>
          <value t="str">
            <val>-5.53%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4060</val>
          </value>
        </values>
      </ddeItem>
      <ddeItem name="POSIVOL" advise="1">
        <values>
          <value>
            <val>207594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-17213</val>
          </value>
        </values>
      </ddeItem>
      <ddeItem name="PRECLOSE" advise="1">
        <values>
          <value>
            <val>4103</val>
          </value>
        </values>
      </ddeItem>
      <ddeItem name="PRESETTLEPRICE" advise="1">
        <values>
          <value>
            <val>4120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228677</val>
          </value>
        </values>
      </ddeItem>
      <ddeItem name="UPDATETIME" advise="1">
        <values>
          <value t="str">
            <val>09:51:32.500</val>
          </value>
        </values>
      </ddeItem>
      <ddeItem name="UPPERLIMITPRICE" advise="1">
        <values>
          <value>
            <val>4944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028947854">
    <ddeItems>
      <ddeItem name="ASKPRICE1" advise="1">
        <values>
          <value>
            <val>3436</val>
          </value>
        </values>
      </ddeItem>
      <ddeItem name="ASKVOLUME1" advise="1">
        <values>
          <value>
            <val>357</val>
          </value>
        </values>
      </ddeItem>
      <ddeItem name="BIDPRICE1" advise="1">
        <values>
          <value>
            <val>3435</val>
          </value>
        </values>
      </ddeItem>
      <ddeItem name="BIDVOLUME1" advise="1">
        <values>
          <value>
            <val>39</val>
          </value>
        </values>
      </ddeItem>
      <ddeItem name="CLOSEPRICE" advise="1"/>
      <ddeItem name="FEE" advise="1"/>
      <ddeItem name="HIGH" advise="1">
        <values>
          <value>
            <val>3450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3436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3378</val>
          </value>
        </values>
      </ddeItem>
      <ddeItem name="LOWERLIMITPRICE" advise="1">
        <values>
          <value>
            <val>3215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51</val>
          </value>
        </values>
      </ddeItem>
      <ddeItem name="NETCHANGERATE" advise="1">
        <values>
          <value t="str">
            <val>+1.51%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3385</val>
          </value>
        </values>
      </ddeItem>
      <ddeItem name="POSIVOL" advise="1">
        <values>
          <value>
            <val>1751446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-24892</val>
          </value>
        </values>
      </ddeItem>
      <ddeItem name="PRECLOSE" advise="1">
        <values>
          <value>
            <val>3385</val>
          </value>
        </values>
      </ddeItem>
      <ddeItem name="PRESETTLEPRICE" advise="1">
        <values>
          <value>
            <val>3385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490956</val>
          </value>
        </values>
      </ddeItem>
      <ddeItem name="UPDATETIME" advise="1">
        <values>
          <value t="str">
            <val>09:51:32.500</val>
          </value>
        </values>
      </ddeItem>
      <ddeItem name="UPPERLIMITPRICE" advise="1">
        <values>
          <value>
            <val>3554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549811385">
    <ddeItems>
      <ddeItem name="ASKPRICE1" advise="1">
        <values>
          <value>
            <val>797</val>
          </value>
        </values>
      </ddeItem>
      <ddeItem name="ASKVOLUME1" advise="1">
        <values>
          <value>
            <val>224</val>
          </value>
        </values>
      </ddeItem>
      <ddeItem name="BIDPRICE1" advise="1">
        <values>
          <value>
            <val>796.5</val>
          </value>
        </values>
      </ddeItem>
      <ddeItem name="BIDVOLUME1" advise="1">
        <values>
          <value>
            <val>409</val>
          </value>
        </values>
      </ddeItem>
      <ddeItem name="CLOSEPRICE" advise="1"/>
      <ddeItem name="FEE" advise="1"/>
      <ddeItem name="HIGH" advise="1">
        <values>
          <value>
            <val>805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797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790</val>
          </value>
        </values>
      </ddeItem>
      <ddeItem name="LOWERLIMITPRICE" advise="1">
        <values>
          <value>
            <val>721.5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4.5</val>
          </value>
        </values>
      </ddeItem>
      <ddeItem name="NETCHANGERATE" advise="1">
        <values>
          <value t="str">
            <val>+0.57%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790.5</val>
          </value>
        </values>
      </ddeItem>
      <ddeItem name="POSIVOL" advise="1">
        <values>
          <value>
            <val>633177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8904</val>
          </value>
        </values>
      </ddeItem>
      <ddeItem name="PRECLOSE" advise="1">
        <values>
          <value>
            <val>792</val>
          </value>
        </values>
      </ddeItem>
      <ddeItem name="PRESETTLEPRICE" advise="1">
        <values>
          <value>
            <val>792.5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182540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863.5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68380562">
    <ddeItems>
      <ddeItem name="ASKPRICE1" advise="1"/>
      <ddeItem name="ASKVOLUME1" advise="1">
        <values>
          <value>
            <val>0</val>
          </value>
        </values>
      </ddeItem>
      <ddeItem name="BIDPRICE1" advise="1">
        <values>
          <value>
            <val>1879</val>
          </value>
        </values>
      </ddeItem>
      <ddeItem name="BIDVOLUME1" advise="1">
        <values>
          <value>
            <val>4348</val>
          </value>
        </values>
      </ddeItem>
      <ddeItem name="CLOSEPRICE" advise="1"/>
      <ddeItem name="FEE" advise="1"/>
      <ddeItem name="HIGH" advise="1">
        <values>
          <value>
            <val>1879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1879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1719</val>
          </value>
        </values>
      </ddeItem>
      <ddeItem name="LOWERLIMITPRICE" advise="1">
        <values>
          <value>
            <val>1601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139</val>
          </value>
        </values>
      </ddeItem>
      <ddeItem name="NETCHANGERATE" advise="1">
        <values>
          <value t="str">
            <val>+7.99%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1731</val>
          </value>
        </values>
      </ddeItem>
      <ddeItem name="POSIVOL" advise="1">
        <values>
          <value>
            <val>32047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-1961</val>
          </value>
        </values>
      </ddeItem>
      <ddeItem name="PRECLOSE" advise="1">
        <values>
          <value>
            <val>1731</val>
          </value>
        </values>
      </ddeItem>
      <ddeItem name="PRESETTLEPRICE" advise="1">
        <values>
          <value>
            <val>1740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9804</val>
          </value>
        </values>
      </ddeItem>
      <ddeItem name="UPDATETIME" advise="1">
        <values>
          <value t="str">
            <val>09:51:33.257</val>
          </value>
        </values>
      </ddeItem>
      <ddeItem name="UPPERLIMITPRICE" advise="1">
        <values>
          <value>
            <val>1879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642183893">
    <ddeItems>
      <ddeItem name="ASKPRICE1" advise="1">
        <values>
          <value>
            <val>3978</val>
          </value>
        </values>
      </ddeItem>
      <ddeItem name="ASKVOLUME1" advise="1">
        <values>
          <value>
            <val>112</val>
          </value>
        </values>
      </ddeItem>
      <ddeItem name="BIDPRICE1" advise="1">
        <values>
          <value>
            <val>3977</val>
          </value>
        </values>
      </ddeItem>
      <ddeItem name="BIDVOLUME1" advise="1">
        <values>
          <value>
            <val>24</val>
          </value>
        </values>
      </ddeItem>
      <ddeItem name="CLOSEPRICE" advise="1"/>
      <ddeItem name="FEE" advise="1"/>
      <ddeItem name="HIGH" advise="1">
        <values>
          <value>
            <val>3988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3977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3953</val>
          </value>
        </values>
      </ddeItem>
      <ddeItem name="LOWERLIMITPRICE" advise="1">
        <values>
          <value>
            <val>3737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2</val>
          </value>
        </values>
      </ddeItem>
      <ddeItem name="NETCHANGERATE" advise="1">
        <values>
          <value t="str">
            <val>+0.05%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3966</val>
          </value>
        </values>
      </ddeItem>
      <ddeItem name="POSIVOL" advise="1">
        <values>
          <value>
            <val>332008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7571</val>
          </value>
        </values>
      </ddeItem>
      <ddeItem name="PRECLOSE" advise="1">
        <values>
          <value>
            <val>4020</val>
          </value>
        </values>
      </ddeItem>
      <ddeItem name="PRESETTLEPRICE" advise="1">
        <values>
          <value>
            <val>3975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268484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4213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22661545">
    <ddeItems>
      <ddeItem name="ASKPRICE1" advise="1"/>
      <ddeItem name="ASKVOLUME1" advise="1">
        <values>
          <value>
            <val>0</val>
          </value>
        </values>
      </ddeItem>
      <ddeItem name="BIDPRICE1" advise="1">
        <values>
          <value>
            <val>1266.5</val>
          </value>
        </values>
      </ddeItem>
      <ddeItem name="BIDVOLUME1" advise="1">
        <values>
          <value>
            <val>123276</val>
          </value>
        </values>
      </ddeItem>
      <ddeItem name="CLOSEPRICE" advise="1"/>
      <ddeItem name="FEE" advise="1"/>
      <ddeItem name="HIGH" advise="1">
        <values>
          <value>
            <val>1266.5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1266.5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1152.5</val>
          </value>
        </values>
      </ddeItem>
      <ddeItem name="LOWERLIMITPRICE" advise="1">
        <values>
          <value>
            <val>1079.5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93.5</val>
          </value>
        </values>
      </ddeItem>
      <ddeItem name="NETCHANGERATE" advise="1">
        <values>
          <value t="str">
            <val>+7.97%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1160</val>
          </value>
        </values>
      </ddeItem>
      <ddeItem name="POSIVOL" advise="1">
        <values>
          <value>
            <val>495089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-44979</val>
          </value>
        </values>
      </ddeItem>
      <ddeItem name="PRECLOSE" advise="1">
        <values>
          <value>
            <val>1162.5</val>
          </value>
        </values>
      </ddeItem>
      <ddeItem name="PRESETTLEPRICE" advise="1">
        <values>
          <value>
            <val>1173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304472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1266.5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65885054">
    <ddeItems>
      <ddeItem name="ASKPRICE1" advise="1">
        <values>
          <value>
            <val>7914</val>
          </value>
        </values>
      </ddeItem>
      <ddeItem name="ASKVOLUME1" advise="1">
        <values>
          <value>
            <val>7</val>
          </value>
        </values>
      </ddeItem>
      <ddeItem name="BIDPRICE1" advise="1">
        <values>
          <value>
            <val>7913</val>
          </value>
        </values>
      </ddeItem>
      <ddeItem name="BIDVOLUME1" advise="1">
        <values>
          <value>
            <val>56</val>
          </value>
        </values>
      </ddeItem>
      <ddeItem name="CLOSEPRICE" advise="1"/>
      <ddeItem name="FEE" advise="1"/>
      <ddeItem name="HIGH" advise="1">
        <values>
          <value>
            <val>8008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7914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7879</val>
          </value>
        </values>
      </ddeItem>
      <ddeItem name="LOWERLIMITPRICE" advise="1">
        <values>
          <value>
            <val>7231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-32</val>
          </value>
        </values>
      </ddeItem>
      <ddeItem name="NETCHANGERATE" advise="1">
        <values>
          <value t="str">
            <val>-0.40%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7908</val>
          </value>
        </values>
      </ddeItem>
      <ddeItem name="POSIVOL" advise="1">
        <values>
          <value>
            <val>386340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-6333</val>
          </value>
        </values>
      </ddeItem>
      <ddeItem name="PRECLOSE" advise="1">
        <values>
          <value>
            <val>7927</val>
          </value>
        </values>
      </ddeItem>
      <ddeItem name="PRESETTLEPRICE" advise="1">
        <values>
          <value>
            <val>7946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352506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8661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503121502">
    <ddeItems>
      <ddeItem name="ASKPRICE1" advise="1">
        <values>
          <value>
            <val>184440</val>
          </value>
        </values>
      </ddeItem>
      <ddeItem name="ASKVOLUME1" advise="1">
        <values>
          <value>
            <val>3</val>
          </value>
        </values>
      </ddeItem>
      <ddeItem name="BIDPRICE1" advise="1">
        <values>
          <value>
            <val>184280</val>
          </value>
        </values>
      </ddeItem>
      <ddeItem name="BIDVOLUME1" advise="1">
        <values>
          <value>
            <val>17</val>
          </value>
        </values>
      </ddeItem>
      <ddeItem name="CLOSEPRICE" advise="1"/>
      <ddeItem name="FEE" advise="1"/>
      <ddeItem name="HIGH" advise="1">
        <values>
          <value>
            <val>187900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184280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183180</val>
          </value>
        </values>
      </ddeItem>
      <ddeItem name="LOWERLIMITPRICE" advise="1">
        <values>
          <value>
            <val>157740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2980</val>
          </value>
        </values>
      </ddeItem>
      <ddeItem name="NETCHANGERATE" advise="1">
        <values>
          <value t="str">
            <val>+1.64%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185500</val>
          </value>
        </values>
      </ddeItem>
      <ddeItem name="POSIVOL" advise="1">
        <values>
          <value>
            <val>459714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6864</val>
          </value>
        </values>
      </ddeItem>
      <ddeItem name="PRECLOSE" advise="1">
        <values>
          <value>
            <val>184460</val>
          </value>
        </values>
      </ddeItem>
      <ddeItem name="PRESETTLEPRICE" advise="1">
        <values>
          <value>
            <val>181300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90755</val>
          </value>
        </values>
      </ddeItem>
      <ddeItem name="UPDATETIME" advise="1">
        <values>
          <value t="str">
            <val>09:51:31.931</val>
          </value>
        </values>
      </ddeItem>
      <ddeItem name="UPPERLIMITPRICE" advise="1">
        <values>
          <value>
            <val>204860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97915455">
    <ddeItems>
      <ddeItem name="ASKPRICE1" advise="1">
        <values>
          <value>
            <val>812</val>
          </value>
        </values>
      </ddeItem>
      <ddeItem name="ASKVOLUME1" advise="1">
        <values>
          <value>
            <val>34</val>
          </value>
        </values>
      </ddeItem>
      <ddeItem name="BIDPRICE1" advise="1">
        <values>
          <value>
            <val>811.5</val>
          </value>
        </values>
      </ddeItem>
      <ddeItem name="BIDVOLUME1" advise="1">
        <values>
          <value>
            <val>46</val>
          </value>
        </values>
      </ddeItem>
      <ddeItem name="CLOSEPRICE" advise="1"/>
      <ddeItem name="FEE" advise="1"/>
      <ddeItem name="HIGH" advise="1">
        <values>
          <value>
            <val>813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811.5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802</val>
          </value>
        </values>
      </ddeItem>
      <ddeItem name="LOWERLIMITPRICE" advise="1">
        <values>
          <value>
            <val>760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3</val>
          </value>
        </values>
      </ddeItem>
      <ddeItem name="NETCHANGERATE" advise="1">
        <values>
          <value t="str">
            <val>+0.37%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808</val>
          </value>
        </values>
      </ddeItem>
      <ddeItem name="POSIVOL" advise="1">
        <values>
          <value>
            <val>12144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342</val>
          </value>
        </values>
      </ddeItem>
      <ddeItem name="PRECLOSE" advise="1">
        <values>
          <value>
            <val>808.5</val>
          </value>
        </values>
      </ddeItem>
      <ddeItem name="PRESETTLEPRICE" advise="1">
        <values>
          <value>
            <val>808.5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2944</val>
          </value>
        </values>
      </ddeItem>
      <ddeItem name="UPDATETIME" advise="1">
        <values>
          <value t="str">
            <val>09:51:37.257</val>
          </value>
        </values>
      </ddeItem>
      <ddeItem name="UPPERLIMITPRICE" advise="1">
        <values>
          <value>
            <val>857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281429959">
    <ddeItems>
      <ddeItem name="ASKPRICE1" advise="1">
        <values>
          <value>
            <val>11125</val>
          </value>
        </values>
      </ddeItem>
      <ddeItem name="ASKVOLUME1" advise="1">
        <values>
          <value>
            <val>138</val>
          </value>
        </values>
      </ddeItem>
      <ddeItem name="BIDPRICE1" advise="1">
        <values>
          <value>
            <val>11120</val>
          </value>
        </values>
      </ddeItem>
      <ddeItem name="BIDVOLUME1" advise="1">
        <values>
          <value>
            <val>152</val>
          </value>
        </values>
      </ddeItem>
      <ddeItem name="CLOSEPRICE" advise="1"/>
      <ddeItem name="FEE" advise="1"/>
      <ddeItem name="HIGH" advise="1">
        <values>
          <value>
            <val>11135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11120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10980</val>
          </value>
        </values>
      </ddeItem>
      <ddeItem name="LOWERLIMITPRICE" advise="1">
        <values>
          <value>
            <val>10430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25</val>
          </value>
        </values>
      </ddeItem>
      <ddeItem name="NETCHANGERATE" advise="1">
        <values>
          <value t="str">
            <val>+0.23%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11100</val>
          </value>
        </values>
      </ddeItem>
      <ddeItem name="POSIVOL" advise="1">
        <values>
          <value>
            <val>157713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-502</val>
          </value>
        </values>
      </ddeItem>
      <ddeItem name="PRECLOSE" advise="1">
        <values>
          <value>
            <val>11190</val>
          </value>
        </values>
      </ddeItem>
      <ddeItem name="PRESETTLEPRICE" advise="1">
        <values>
          <value>
            <val>11095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69249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11760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981810730">
    <ddeItems>
      <ddeItem name="ASKPRICE1" advise="1">
        <values>
          <value>
            <val>4806</val>
          </value>
        </values>
      </ddeItem>
      <ddeItem name="ASKVOLUME1" advise="1">
        <values>
          <value>
            <val>2</val>
          </value>
        </values>
      </ddeItem>
      <ddeItem name="BIDPRICE1" advise="1">
        <values>
          <value>
            <val>4805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5069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4806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4767</val>
          </value>
        </values>
      </ddeItem>
      <ddeItem name="LOWERLIMITPRICE" advise="1">
        <values>
          <value>
            <val>4058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-267</val>
          </value>
        </values>
      </ddeItem>
      <ddeItem name="NETCHANGERATE" advise="1">
        <values>
          <value t="str">
            <val>-5.26%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5000</val>
          </value>
        </values>
      </ddeItem>
      <ddeItem name="POSIVOL" advise="1">
        <values>
          <value>
            <val>60888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-2388</val>
          </value>
        </values>
      </ddeItem>
      <ddeItem name="PRECLOSE" advise="1">
        <values>
          <value>
            <val>5028</val>
          </value>
        </values>
      </ddeItem>
      <ddeItem name="PRESETTLEPRICE" advise="1">
        <values>
          <value>
            <val>5073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46271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6087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506745807">
    <ddeItems>
      <ddeItem name="ASKPRICE1" advise="1">
        <values>
          <value>
            <val>2995</val>
          </value>
        </values>
      </ddeItem>
      <ddeItem name="ASKVOLUME1" advise="1">
        <values>
          <value>
            <val>348</val>
          </value>
        </values>
      </ddeItem>
      <ddeItem name="BIDPRICE1" advise="1">
        <values>
          <value>
            <val>2994</val>
          </value>
        </values>
      </ddeItem>
      <ddeItem name="BIDVOLUME1" advise="1">
        <values>
          <value>
            <val>1679</val>
          </value>
        </values>
      </ddeItem>
      <ddeItem name="CLOSEPRICE" advise="1"/>
      <ddeItem name="FEE" advise="1"/>
      <ddeItem name="HIGH" advise="1">
        <values>
          <value>
            <val>3009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2995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2985</val>
          </value>
        </values>
      </ddeItem>
      <ddeItem name="LOWERLIMITPRICE" advise="1">
        <values>
          <value>
            <val>2811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5</val>
          </value>
        </values>
      </ddeItem>
      <ddeItem name="NETCHANGERATE" advise="1">
        <values>
          <value t="str">
            <val>+0.17%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2995</val>
          </value>
        </values>
      </ddeItem>
      <ddeItem name="POSIVOL" advise="1">
        <values>
          <value>
            <val>2473869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12472</val>
          </value>
        </values>
      </ddeItem>
      <ddeItem name="PRECLOSE" advise="1">
        <values>
          <value>
            <val>2990</val>
          </value>
        </values>
      </ddeItem>
      <ddeItem name="PRESETTLEPRICE" advise="1">
        <values>
          <value>
            <val>2990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501414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3169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09057923">
    <ddeItems>
      <ddeItem name="ASKPRICE1" advise="1">
        <values>
          <value>
            <val>143800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143780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144670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143780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142500</val>
          </value>
        </values>
      </ddeItem>
      <ddeItem name="LOWERLIMITPRICE" advise="1">
        <values>
          <value>
            <val>126260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300</val>
          </value>
        </values>
      </ddeItem>
      <ddeItem name="NETCHANGERATE" advise="1">
        <values>
          <value t="str">
            <val>+0.21%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143360</val>
          </value>
        </values>
      </ddeItem>
      <ddeItem name="POSIVOL" advise="1">
        <values>
          <value>
            <val>85466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-8697</val>
          </value>
        </values>
      </ddeItem>
      <ddeItem name="PRECLOSE" advise="1">
        <values>
          <value>
            <val>143330</val>
          </value>
        </values>
      </ddeItem>
      <ddeItem name="PRESETTLEPRICE" advise="1">
        <values>
          <value>
            <val>143480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162402</val>
          </value>
        </values>
      </ddeItem>
      <ddeItem name="UPDATETIME" advise="1">
        <values>
          <value t="str">
            <val>09:51:31.500</val>
          </value>
        </values>
      </ddeItem>
      <ddeItem name="UPPERLIMITPRICE" advise="1">
        <values>
          <value>
            <val>160690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61031616">
    <ddeItems>
      <ddeItem name="ASKPRICE1" advise="1">
        <values>
          <value>
            <val>14700</val>
          </value>
        </values>
      </ddeItem>
      <ddeItem name="ASKVOLUME1" advise="1">
        <values>
          <value>
            <val>10</val>
          </value>
        </values>
      </ddeItem>
      <ddeItem name="BIDPRICE1" advise="1">
        <values>
          <value>
            <val>14695</val>
          </value>
        </values>
      </ddeItem>
      <ddeItem name="BIDVOLUME1" advise="1">
        <values>
          <value>
            <val>19</val>
          </value>
        </values>
      </ddeItem>
      <ddeItem name="CLOSEPRICE" advise="1"/>
      <ddeItem name="FEE" advise="1"/>
      <ddeItem name="HIGH" advise="1">
        <values>
          <value>
            <val>14770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14700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14590</val>
          </value>
        </values>
      </ddeItem>
      <ddeItem name="LOWERLIMITPRICE" advise="1">
        <values>
          <value>
            <val>13305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75</val>
          </value>
        </values>
      </ddeItem>
      <ddeItem name="NETCHANGERATE" advise="1">
        <values>
          <value t="str">
            <val>+0.51%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14675</val>
          </value>
        </values>
      </ddeItem>
      <ddeItem name="POSIVOL" advise="1">
        <values>
          <value>
            <val>63166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-3805</val>
          </value>
        </values>
      </ddeItem>
      <ddeItem name="PRECLOSE" advise="1">
        <values>
          <value>
            <val>14690</val>
          </value>
        </values>
      </ddeItem>
      <ddeItem name="PRESETTLEPRICE" advise="1">
        <values>
          <value>
            <val>14625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46234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15940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77117474">
    <ddeItems>
      <ddeItem name="ASKPRICE1" advise="1">
        <values>
          <value>
            <val>4086</val>
          </value>
        </values>
      </ddeItem>
      <ddeItem name="ASKVOLUME1" advise="1">
        <values>
          <value>
            <val>25</val>
          </value>
        </values>
      </ddeItem>
      <ddeItem name="BIDPRICE1" advise="1">
        <values>
          <value>
            <val>4084</val>
          </value>
        </values>
      </ddeItem>
      <ddeItem name="BIDVOLUME1" advise="1">
        <values>
          <value>
            <val>3</val>
          </value>
        </values>
      </ddeItem>
      <ddeItem name="CLOSEPRICE" advise="1"/>
      <ddeItem name="FEE" advise="1"/>
      <ddeItem name="HIGH" advise="1">
        <values>
          <value>
            <val>4100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4084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4060</val>
          </value>
        </values>
      </ddeItem>
      <ddeItem name="LOWERLIMITPRICE" advise="1">
        <values>
          <value>
            <val>3732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70</val>
          </value>
        </values>
      </ddeItem>
      <ddeItem name="NETCHANGERATE" advise="1">
        <values>
          <value t="str">
            <val>+1.74%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4062</val>
          </value>
        </values>
      </ddeItem>
      <ddeItem name="POSIVOL" advise="1">
        <values>
          <value>
            <val>12562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-322</val>
          </value>
        </values>
      </ddeItem>
      <ddeItem name="PRECLOSE" advise="1">
        <values>
          <value>
            <val>4066</val>
          </value>
        </values>
      </ddeItem>
      <ddeItem name="PRESETTLEPRICE" advise="1">
        <values>
          <value>
            <val>4014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3089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4294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454970140">
    <ddeItems>
      <ddeItem name="ASKPRICE1" advise="1">
        <values>
          <value>
            <val>9470</val>
          </value>
        </values>
      </ddeItem>
      <ddeItem name="ASKVOLUME1" advise="1">
        <values>
          <value>
            <val>197</val>
          </value>
        </values>
      </ddeItem>
      <ddeItem name="BIDPRICE1" advise="1">
        <values>
          <value>
            <val>9469</val>
          </value>
        </values>
      </ddeItem>
      <ddeItem name="BIDVOLUME1" advise="1">
        <values>
          <value>
            <val>54</val>
          </value>
        </values>
      </ddeItem>
      <ddeItem name="CLOSEPRICE" advise="1"/>
      <ddeItem name="FEE" advise="1"/>
      <ddeItem name="HIGH" advise="1">
        <values>
          <value>
            <val>9478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9469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9332</val>
          </value>
        </values>
      </ddeItem>
      <ddeItem name="LOWERLIMITPRICE" advise="1">
        <values>
          <value>
            <val>8818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-12</val>
          </value>
        </values>
      </ddeItem>
      <ddeItem name="NETCHANGERATE" advise="1">
        <values>
          <value t="str">
            <val>-0.13%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9449</val>
          </value>
        </values>
      </ddeItem>
      <ddeItem name="POSIVOL" advise="1">
        <values>
          <value>
            <val>502921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22483</val>
          </value>
        </values>
      </ddeItem>
      <ddeItem name="PRECLOSE" advise="1">
        <values>
          <value>
            <val>9471</val>
          </value>
        </values>
      </ddeItem>
      <ddeItem name="PRESETTLEPRICE" advise="1">
        <values>
          <value>
            <val>9481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305412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10144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812330602">
    <ddeItems>
      <ddeItem name="ASKPRICE1" advise="1">
        <values>
          <value>
            <val>16780</val>
          </value>
        </values>
      </ddeItem>
      <ddeItem name="ASKVOLUME1" advise="1">
        <values>
          <value>
            <val>32</val>
          </value>
        </values>
      </ddeItem>
      <ddeItem name="BIDPRICE1" advise="1">
        <values>
          <value>
            <val>16775</val>
          </value>
        </values>
      </ddeItem>
      <ddeItem name="BIDVOLUME1" advise="1">
        <values>
          <value>
            <val>95</val>
          </value>
        </values>
      </ddeItem>
      <ddeItem name="CLOSEPRICE" advise="1"/>
      <ddeItem name="FEE" advise="1"/>
      <ddeItem name="HIGH" advise="1">
        <values>
          <value>
            <val>16800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16780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16725</val>
          </value>
        </values>
      </ddeItem>
      <ddeItem name="LOWERLIMITPRICE" advise="1">
        <values>
          <value>
            <val>15050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55</val>
          </value>
        </values>
      </ddeItem>
      <ddeItem name="NETCHANGERATE" advise="1">
        <values>
          <value t="str">
            <val>+0.33%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16735</val>
          </value>
        </values>
      </ddeItem>
      <ddeItem name="POSIVOL" advise="1">
        <values>
          <value>
            <val>65957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-3314</val>
          </value>
        </values>
      </ddeItem>
      <ddeItem name="PRECLOSE" advise="1">
        <values>
          <value>
            <val>16735</val>
          </value>
        </values>
      </ddeItem>
      <ddeItem name="PRESETTLEPRICE" advise="1">
        <values>
          <value>
            <val>16725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35524</val>
          </value>
        </values>
      </ddeItem>
      <ddeItem name="UPDATETIME" advise="1">
        <values>
          <value t="str">
            <val>09:51:32.500</val>
          </value>
        </values>
      </ddeItem>
      <ddeItem name="UPPERLIMITPRICE" advise="1">
        <values>
          <value>
            <val>18395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611607520">
    <ddeItems>
      <ddeItem name="ASKPRICE1" advise="1">
        <values>
          <value>
            <val>335</val>
          </value>
        </values>
      </ddeItem>
      <ddeItem name="ASKVOLUME1" advise="1">
        <values>
          <value>
            <val>3</val>
          </value>
        </values>
      </ddeItem>
      <ddeItem name="BIDPRICE1" advise="1">
        <values>
          <value>
            <val>334.75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336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334.85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332.55</val>
          </value>
        </values>
      </ddeItem>
      <ddeItem name="LOWERLIMITPRICE" advise="1">
        <values>
          <value>
            <val>277.35000000000002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0.75</val>
          </value>
        </values>
      </ddeItem>
      <ddeItem name="NETCHANGERATE" advise="1">
        <values>
          <value t="str">
            <val>+0.22%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334.95</val>
          </value>
        </values>
      </ddeItem>
      <ddeItem name="POSIVOL" advise="1">
        <values>
          <value>
            <val>5068</val>
          </value>
        </values>
      </ddeItem>
      <ddeItem name="POSIVOLCHANGE" advise="1">
        <values>
          <value>
            <val>2</val>
          </value>
        </values>
      </ddeItem>
      <ddeItem name="POSIVOLCHANGEDAILY" advise="1">
        <values>
          <value>
            <val>-145</val>
          </value>
        </values>
      </ddeItem>
      <ddeItem name="PRECLOSE" advise="1">
        <values>
          <value>
            <val>332.2</val>
          </value>
        </values>
      </ddeItem>
      <ddeItem name="PRESETTLEPRICE" advise="1">
        <values>
          <value>
            <val>334.1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1135</val>
          </value>
        </values>
      </ddeItem>
      <ddeItem name="UPDATETIME" advise="1">
        <values>
          <value t="str">
            <val>09:51:32.383</val>
          </value>
        </values>
      </ddeItem>
      <ddeItem name="UPPERLIMITPRICE" advise="1">
        <values>
          <value>
            <val>390.85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96066811">
    <ddeItems>
      <ddeItem name="ASKPRICE1" advise="1">
        <values>
          <value>
            <val>5782</val>
          </value>
        </values>
      </ddeItem>
      <ddeItem name="ASKVOLUME1" advise="1">
        <values>
          <value>
            <val>5</val>
          </value>
        </values>
      </ddeItem>
      <ddeItem name="BIDPRICE1" advise="1">
        <values>
          <value>
            <val>5781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5912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5782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5682</val>
          </value>
        </values>
      </ddeItem>
      <ddeItem name="LOWERLIMITPRICE" advise="1">
        <values>
          <value>
            <val>5132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28</val>
          </value>
        </values>
      </ddeItem>
      <ddeItem name="NETCHANGERATE" advise="1">
        <values>
          <value t="str">
            <val>+0.49%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5906</val>
          </value>
        </values>
      </ddeItem>
      <ddeItem name="POSIVOL" advise="1">
        <values>
          <value>
            <val>95252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-1836</val>
          </value>
        </values>
      </ddeItem>
      <ddeItem name="PRECLOSE" advise="1">
        <values>
          <value>
            <val>5948</val>
          </value>
        </values>
      </ddeItem>
      <ddeItem name="PRESETTLEPRICE" advise="1">
        <values>
          <value>
            <val>5754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74437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6802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147892906">
    <ddeItems>
      <ddeItem name="ASKPRICE1" advise="1">
        <values>
          <value>
            <val>8725</val>
          </value>
        </values>
      </ddeItem>
      <ddeItem name="ASKVOLUME1" advise="1">
        <values>
          <value>
            <val>16</val>
          </value>
        </values>
      </ddeItem>
      <ddeItem name="BIDPRICE1" advise="1">
        <values>
          <value>
            <val>8724</val>
          </value>
        </values>
      </ddeItem>
      <ddeItem name="BIDVOLUME1" advise="1">
        <values>
          <value>
            <val>26</val>
          </value>
        </values>
      </ddeItem>
      <ddeItem name="CLOSEPRICE" advise="1"/>
      <ddeItem name="FEE" advise="1"/>
      <ddeItem name="HIGH" advise="1">
        <values>
          <value>
            <val>8867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8725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8690</val>
          </value>
        </values>
      </ddeItem>
      <ddeItem name="LOWERLIMITPRICE" advise="1">
        <values>
          <value>
            <val>8020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-88</val>
          </value>
        </values>
      </ddeItem>
      <ddeItem name="NETCHANGERATE" advise="1">
        <values>
          <value t="str">
            <val>-1.00%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8740</val>
          </value>
        </values>
      </ddeItem>
      <ddeItem name="POSIVOL" advise="1">
        <values>
          <value>
            <val>577530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-7054</val>
          </value>
        </values>
      </ddeItem>
      <ddeItem name="PRECLOSE" advise="1">
        <values>
          <value>
            <val>8792</val>
          </value>
        </values>
      </ddeItem>
      <ddeItem name="PRESETTLEPRICE" advise="1">
        <values>
          <value>
            <val>8813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464015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9606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85622733">
    <ddeItems>
      <ddeItem name="ASKPRICE1" advise="1">
        <values>
          <value>
            <val>3217</val>
          </value>
        </values>
      </ddeItem>
      <ddeItem name="ASKVOLUME1" advise="1">
        <values>
          <value>
            <val>249</val>
          </value>
        </values>
      </ddeItem>
      <ddeItem name="BIDPRICE1" advise="1">
        <values>
          <value>
            <val>3216</val>
          </value>
        </values>
      </ddeItem>
      <ddeItem name="BIDVOLUME1" advise="1">
        <values>
          <value>
            <val>1422</val>
          </value>
        </values>
      </ddeItem>
      <ddeItem name="CLOSEPRICE" advise="1"/>
      <ddeItem name="FEE" advise="1"/>
      <ddeItem name="HIGH" advise="1">
        <values>
          <value>
            <val>3238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3217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3165</val>
          </value>
        </values>
      </ddeItem>
      <ddeItem name="LOWERLIMITPRICE" advise="1">
        <values>
          <value>
            <val>3012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46</val>
          </value>
        </values>
      </ddeItem>
      <ddeItem name="NETCHANGERATE" advise="1">
        <values>
          <value t="str">
            <val>+1.45%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3168</val>
          </value>
        </values>
      </ddeItem>
      <ddeItem name="POSIVOL" advise="1">
        <values>
          <value>
            <val>1780725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-23355</val>
          </value>
        </values>
      </ddeItem>
      <ddeItem name="PRECLOSE" advise="1">
        <values>
          <value>
            <val>3168</val>
          </value>
        </values>
      </ddeItem>
      <ddeItem name="PRESETTLEPRICE" advise="1">
        <values>
          <value>
            <val>3171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724875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3329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96117273">
    <ddeItems>
      <ddeItem name="ASKPRICE1" advise="1">
        <values>
          <value>
            <val>3546</val>
          </value>
        </values>
      </ddeItem>
      <ddeItem name="ASKVOLUME1" advise="1">
        <values>
          <value>
            <val>62</val>
          </value>
        </values>
      </ddeItem>
      <ddeItem name="BIDPRICE1" advise="1">
        <values>
          <value>
            <val>3545</val>
          </value>
        </values>
      </ddeItem>
      <ddeItem name="BIDVOLUME1" advise="1">
        <values>
          <value>
            <val>45</val>
          </value>
        </values>
      </ddeItem>
      <ddeItem name="CLOSEPRICE" advise="1"/>
      <ddeItem name="FEE" advise="1"/>
      <ddeItem name="HIGH" advise="1">
        <values>
          <value>
            <val>3548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3546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3543</val>
          </value>
        </values>
      </ddeItem>
      <ddeItem name="LOWERLIMITPRICE" advise="1">
        <values>
          <value>
            <val>3366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</val>
          </value>
        </values>
      </ddeItem>
      <ddeItem name="NETCHANGERATE" advise="1">
        <values>
          <value t="str">
            <val>+0.03%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3544</val>
          </value>
        </values>
      </ddeItem>
      <ddeItem name="POSIVOL" advise="1">
        <values>
          <value>
            <val>28088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94</val>
          </value>
        </values>
      </ddeItem>
      <ddeItem name="PRECLOSE" advise="1">
        <values>
          <value>
            <val>3544</val>
          </value>
        </values>
      </ddeItem>
      <ddeItem name="PRESETTLEPRICE" advise="1">
        <values>
          <value>
            <val>3545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1478</val>
          </value>
        </values>
      </ddeItem>
      <ddeItem name="UPDATETIME" advise="1">
        <values>
          <value t="str">
            <val>09:51:56.757</val>
          </value>
        </values>
      </ddeItem>
      <ddeItem name="UPPERLIMITPRICE" advise="1">
        <values>
          <value>
            <val>3720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72678222">
    <ddeItems>
      <ddeItem name="ASKPRICE1" advise="1">
        <values>
          <value>
            <val>17415</val>
          </value>
        </values>
      </ddeItem>
      <ddeItem name="ASKVOLUME1" advise="1">
        <values>
          <value>
            <val>51</val>
          </value>
        </values>
      </ddeItem>
      <ddeItem name="BIDPRICE1" advise="1">
        <values>
          <value>
            <val>17410</val>
          </value>
        </values>
      </ddeItem>
      <ddeItem name="BIDVOLUME1" advise="1">
        <values>
          <value>
            <val>40</val>
          </value>
        </values>
      </ddeItem>
      <ddeItem name="CLOSEPRICE" advise="1"/>
      <ddeItem name="FEE" advise="1"/>
      <ddeItem name="HIGH" advise="1">
        <values>
          <value>
            <val>17495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17410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17300</val>
          </value>
        </values>
      </ddeItem>
      <ddeItem name="LOWERLIMITPRICE" advise="1">
        <values>
          <value>
            <val>15785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60</val>
          </value>
        </values>
      </ddeItem>
      <ddeItem name="NETCHANGERATE" advise="1">
        <values>
          <value t="str">
            <val>+0.35%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17410</val>
          </value>
        </values>
      </ddeItem>
      <ddeItem name="POSIVOL" advise="1">
        <values>
          <value>
            <val>180248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1685</val>
          </value>
        </values>
      </ddeItem>
      <ddeItem name="PRECLOSE" advise="1">
        <values>
          <value>
            <val>17420</val>
          </value>
        </values>
      </ddeItem>
      <ddeItem name="PRESETTLEPRICE" advise="1">
        <values>
          <value>
            <val>17350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151212</val>
          </value>
        </values>
      </ddeItem>
      <ddeItem name="UPDATETIME" advise="1">
        <values>
          <value t="str">
            <val>09:51:32.500</val>
          </value>
        </values>
      </ddeItem>
      <ddeItem name="UPPERLIMITPRICE" advise="1">
        <values>
          <value>
            <val>18910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934282104">
    <ddeItems>
      <ddeItem name="ASKPRICE1" advise="1">
        <values>
          <value>
            <val>614.6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614.5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643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614.6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608.5</val>
          </value>
        </values>
      </ddeItem>
      <ddeItem name="LOWERLIMITPRICE" advise="1">
        <values>
          <value>
            <val>520.4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-36</val>
          </value>
        </values>
      </ddeItem>
      <ddeItem name="NETCHANGERATE" advise="1">
        <values>
          <value t="str">
            <val>-5.53%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636</val>
          </value>
        </values>
      </ddeItem>
      <ddeItem name="POSIVOL" advise="1">
        <values>
          <value>
            <val>37822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14</val>
          </value>
        </values>
      </ddeItem>
      <ddeItem name="PRECLOSE" advise="1">
        <values>
          <value>
            <val>641.1</val>
          </value>
        </values>
      </ddeItem>
      <ddeItem name="PRESETTLEPRICE" advise="1">
        <values>
          <value>
            <val>650.6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37372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780.7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741107292">
    <ddeItems>
      <ddeItem name="ASKPRICE1" advise="1">
        <values>
          <value>
            <val>8585</val>
          </value>
        </values>
      </ddeItem>
      <ddeItem name="ASKVOLUME1" advise="1">
        <values>
          <value>
            <val>385</val>
          </value>
        </values>
      </ddeItem>
      <ddeItem name="BIDPRICE1" advise="1">
        <values>
          <value>
            <val>8580</val>
          </value>
        </values>
      </ddeItem>
      <ddeItem name="BIDVOLUME1" advise="1">
        <values>
          <value>
            <val>239</val>
          </value>
        </values>
      </ddeItem>
      <ddeItem name="CLOSEPRICE" advise="1"/>
      <ddeItem name="FEE" advise="1"/>
      <ddeItem name="HIGH" advise="1">
        <values>
          <value>
            <val>8710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8580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8560</val>
          </value>
        </values>
      </ddeItem>
      <ddeItem name="LOWERLIMITPRICE" advise="1">
        <values>
          <value>
            <val>7770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135</val>
          </value>
        </values>
      </ddeItem>
      <ddeItem name="NETCHANGERATE" advise="1">
        <values>
          <value t="str">
            <val>+1.60%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8700</val>
          </value>
        </values>
      </ddeItem>
      <ddeItem name="POSIVOL" advise="1">
        <values>
          <value>
            <val>294414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-11820</val>
          </value>
        </values>
      </ddeItem>
      <ddeItem name="PRECLOSE" advise="1">
        <values>
          <value>
            <val>8440</val>
          </value>
        </values>
      </ddeItem>
      <ddeItem name="PRESETTLEPRICE" advise="1">
        <values>
          <value>
            <val>8445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193425</val>
          </value>
        </values>
      </ddeItem>
      <ddeItem name="UPDATETIME" advise="1">
        <values>
          <value t="str">
            <val>09:51:32.383</val>
          </value>
        </values>
      </ddeItem>
      <ddeItem name="UPPERLIMITPRICE" advise="1">
        <values>
          <value>
            <val>9120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03435737">
    <ddeItems>
      <ddeItem name="ASKPRICE1" advise="1">
        <values>
          <value>
            <val>426360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426320</val>
          </value>
        </values>
      </ddeItem>
      <ddeItem name="BIDVOLUME1" advise="1">
        <values>
          <value>
            <val>3</val>
          </value>
        </values>
      </ddeItem>
      <ddeItem name="CLOSEPRICE" advise="1"/>
      <ddeItem name="FEE" advise="1"/>
      <ddeItem name="HIGH" advise="1">
        <values>
          <value>
            <val>429230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426320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416840</val>
          </value>
        </values>
      </ddeItem>
      <ddeItem name="LOWERLIMITPRICE" advise="1">
        <values>
          <value>
            <val>367350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8870</val>
          </value>
        </values>
      </ddeItem>
      <ddeItem name="NETCHANGERATE" advise="1">
        <values>
          <value t="str">
            <val>+2.12%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419490</val>
          </value>
        </values>
      </ddeItem>
      <ddeItem name="POSIVOL" advise="1">
        <values>
          <value>
            <val>25178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-1679</val>
          </value>
        </values>
      </ddeItem>
      <ddeItem name="PRECLOSE" advise="1">
        <values>
          <value>
            <val>421320</val>
          </value>
        </values>
      </ddeItem>
      <ddeItem name="PRESETTLEPRICE" advise="1">
        <values>
          <value>
            <val>417450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133640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467540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038018448">
    <ddeItems>
      <ddeItem name="ASKPRICE1" advise="1">
        <values>
          <value>
            <val>4922</val>
          </value>
        </values>
      </ddeItem>
      <ddeItem name="ASKVOLUME1" advise="1">
        <values>
          <value>
            <val>216</val>
          </value>
        </values>
      </ddeItem>
      <ddeItem name="BIDPRICE1" advise="1">
        <values>
          <value>
            <val>4920</val>
          </value>
        </values>
      </ddeItem>
      <ddeItem name="BIDVOLUME1" advise="1">
        <values>
          <value>
            <val>420</val>
          </value>
        </values>
      </ddeItem>
      <ddeItem name="CLOSEPRICE" advise="1"/>
      <ddeItem name="FEE" advise="1"/>
      <ddeItem name="HIGH" advise="1">
        <values>
          <value>
            <val>4936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4922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4902</val>
          </value>
        </values>
      </ddeItem>
      <ddeItem name="LOWERLIMITPRICE" advise="1">
        <values>
          <value>
            <val>4572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4</val>
          </value>
        </values>
      </ddeItem>
      <ddeItem name="NETCHANGERATE" advise="1">
        <values>
          <value t="str">
            <val>+0.08%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4916</val>
          </value>
        </values>
      </ddeItem>
      <ddeItem name="POSIVOL" advise="1">
        <values>
          <value>
            <val>403061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8353</val>
          </value>
        </values>
      </ddeItem>
      <ddeItem name="PRECLOSE" advise="1">
        <values>
          <value>
            <val>4912</val>
          </value>
        </values>
      </ddeItem>
      <ddeItem name="PRESETTLEPRICE" advise="1">
        <values>
          <value>
            <val>4918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123635</val>
          </value>
        </values>
      </ddeItem>
      <ddeItem name="UPDATETIME" advise="1">
        <values>
          <value t="str">
            <val>09:51:32.500</val>
          </value>
        </values>
      </ddeItem>
      <ddeItem name="UPPERLIMITPRICE" advise="1">
        <values>
          <value>
            <val>5262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658442241">
    <ddeItems>
      <ddeItem name="ASKPRICE1" advise="1">
        <values>
          <value>
            <val>14850</val>
          </value>
        </values>
      </ddeItem>
      <ddeItem name="ASKVOLUME1" advise="1">
        <values>
          <value>
            <val>174</val>
          </value>
        </values>
      </ddeItem>
      <ddeItem name="BIDPRICE1" advise="1">
        <values>
          <value>
            <val>14845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14950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14845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14720</val>
          </value>
        </values>
      </ddeItem>
      <ddeItem name="LOWERLIMITPRICE" advise="1">
        <values>
          <value>
            <val>13905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50</val>
          </value>
        </values>
      </ddeItem>
      <ddeItem name="NETCHANGERATE" advise="1">
        <values>
          <value t="str">
            <val>+0.34%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14730</val>
          </value>
        </values>
      </ddeItem>
      <ddeItem name="POSIVOL" advise="1">
        <values>
          <value>
            <val>122981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1243</val>
          </value>
        </values>
      </ddeItem>
      <ddeItem name="PRECLOSE" advise="1">
        <values>
          <value>
            <val>14745</val>
          </value>
        </values>
      </ddeItem>
      <ddeItem name="PRESETTLEPRICE" advise="1">
        <values>
          <value>
            <val>14795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163965</val>
          </value>
        </values>
      </ddeItem>
      <ddeItem name="UPDATETIME" advise="1">
        <values>
          <value t="str">
            <val>09:51:32.500</val>
          </value>
        </values>
      </ddeItem>
      <ddeItem name="UPPERLIMITPRICE" advise="1">
        <values>
          <value>
            <val>15680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509143034">
    <ddeItems>
      <ddeItem name="ASKPRICE1" advise="1">
        <values>
          <value>
            <val>4913</val>
          </value>
        </values>
      </ddeItem>
      <ddeItem name="ASKVOLUME1" advise="1">
        <values>
          <value>
            <val>60</val>
          </value>
        </values>
      </ddeItem>
      <ddeItem name="BIDPRICE1" advise="1">
        <values>
          <value>
            <val>4912</val>
          </value>
        </values>
      </ddeItem>
      <ddeItem name="BIDVOLUME1" advise="1">
        <values>
          <value>
            <val>143</val>
          </value>
        </values>
      </ddeItem>
      <ddeItem name="CLOSEPRICE" advise="1"/>
      <ddeItem name="FEE" advise="1"/>
      <ddeItem name="HIGH" advise="1">
        <values>
          <value>
            <val>4949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4913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4826</val>
          </value>
        </values>
      </ddeItem>
      <ddeItem name="LOWERLIMITPRICE" advise="1">
        <values>
          <value>
            <val>4408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70</val>
          </value>
        </values>
      </ddeItem>
      <ddeItem name="NETCHANGERATE" advise="1">
        <values>
          <value t="str">
            <val>+1.45%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4830</val>
          </value>
        </values>
      </ddeItem>
      <ddeItem name="POSIVOL" advise="1">
        <values>
          <value>
            <val>1095791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-18311</val>
          </value>
        </values>
      </ddeItem>
      <ddeItem name="PRECLOSE" advise="1">
        <values>
          <value>
            <val>4846</val>
          </value>
        </values>
      </ddeItem>
      <ddeItem name="PRESETTLEPRICE" advise="1">
        <values>
          <value>
            <val>4843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665627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5278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917496271">
    <ddeItems>
      <ddeItem name="ASKPRICE1" advise="1">
        <values>
          <value>
            <val>3391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3365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3410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3384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3333</val>
          </value>
        </values>
      </ddeItem>
      <ddeItem name="LOWERLIMITPRICE" advise="1">
        <values>
          <value>
            <val>3085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-51</val>
          </value>
        </values>
      </ddeItem>
      <ddeItem name="NETCHANGERATE" advise="1">
        <values>
          <value t="str">
            <val>-1.48%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3333</val>
          </value>
        </values>
      </ddeItem>
      <ddeItem name="POSIVOL" advise="1">
        <values>
          <value>
            <val>65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0</val>
          </value>
        </values>
      </ddeItem>
      <ddeItem name="PRECLOSE" advise="1">
        <values>
          <value>
            <val>3352</val>
          </value>
        </values>
      </ddeItem>
      <ddeItem name="PRESETTLEPRICE" advise="1">
        <values>
          <value>
            <val>3435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13</val>
          </value>
        </values>
      </ddeItem>
      <ddeItem name="UPDATETIME" advise="1">
        <values>
          <value t="str">
            <val>09:51:37.500</val>
          </value>
        </values>
      </ddeItem>
      <ddeItem name="UPPERLIMITPRICE" advise="1">
        <values>
          <value>
            <val>3622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37971348">
    <ddeItems>
      <ddeItem name="ASKPRICE1" advise="1">
        <values>
          <value>
            <val>8462</val>
          </value>
        </values>
      </ddeItem>
      <ddeItem name="ASKVOLUME1" advise="1">
        <values>
          <value>
            <val>5</val>
          </value>
        </values>
      </ddeItem>
      <ddeItem name="BIDPRICE1" advise="1">
        <values>
          <value>
            <val>8461</val>
          </value>
        </values>
      </ddeItem>
      <ddeItem name="BIDVOLUME1" advise="1">
        <values>
          <value>
            <val>55</val>
          </value>
        </values>
      </ddeItem>
      <ddeItem name="CLOSEPRICE" advise="1"/>
      <ddeItem name="FEE" advise="1"/>
      <ddeItem name="HIGH" advise="1">
        <values>
          <value>
            <val>8502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8461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8422</val>
          </value>
        </values>
      </ddeItem>
      <ddeItem name="LOWERLIMITPRICE" advise="1">
        <values>
          <value>
            <val>8004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-53</val>
          </value>
        </values>
      </ddeItem>
      <ddeItem name="NETCHANGERATE" advise="1">
        <values>
          <value t="str">
            <val>-0.62%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8495</val>
          </value>
        </values>
      </ddeItem>
      <ddeItem name="POSIVOL" advise="1">
        <values>
          <value>
            <val>662198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5214</val>
          </value>
        </values>
      </ddeItem>
      <ddeItem name="PRECLOSE" advise="1">
        <values>
          <value>
            <val>8505</val>
          </value>
        </values>
      </ddeItem>
      <ddeItem name="PRESETTLEPRICE" advise="1">
        <values>
          <value>
            <val>8514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145890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9024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16700963">
    <ddeItems>
      <ddeItem name="ASKPRICE1" advise="1">
        <values>
          <value>
            <val>108.78</val>
          </value>
        </values>
      </ddeItem>
      <ddeItem name="ASKVOLUME1" advise="1">
        <values>
          <value>
            <val>310</val>
          </value>
        </values>
      </ddeItem>
      <ddeItem name="BIDPRICE1" advise="1">
        <values>
          <value>
            <val>108.77500000000001</val>
          </value>
        </values>
      </ddeItem>
      <ddeItem name="BIDVOLUME1" advise="1">
        <values>
          <value>
            <val>128</val>
          </value>
        </values>
      </ddeItem>
      <ddeItem name="CLOSEPRICE" advise="1"/>
      <ddeItem name="FEE" advise="1"/>
      <ddeItem name="HIGH" advise="1">
        <values>
          <value>
            <val>108.81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108.78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108.765</val>
          </value>
        </values>
      </ddeItem>
      <ddeItem name="LOWERLIMITPRICE" advise="1">
        <values>
          <value>
            <val>106.58499999999999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1.9999999999996021E-2</val>
          </value>
        </values>
      </ddeItem>
      <ddeItem name="NETCHANGERATE" advise="1">
        <values>
          <value t="str">
            <val>+0.02%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108.8</val>
          </value>
        </values>
      </ddeItem>
      <ddeItem name="POSIVOL" advise="1">
        <values>
          <value>
            <val>234604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14468</val>
          </value>
        </values>
      </ddeItem>
      <ddeItem name="PRECLOSE" advise="1">
        <values>
          <value>
            <val>108.76</val>
          </value>
        </values>
      </ddeItem>
      <ddeItem name="PRESETTLEPRICE" advise="1">
        <values>
          <value>
            <val>108.76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29284</val>
          </value>
        </values>
      </ddeItem>
      <ddeItem name="UPDATETIME" advise="1">
        <values>
          <value t="str">
            <val>09:51:31.600</val>
          </value>
        </values>
      </ddeItem>
      <ddeItem name="UPPERLIMITPRICE" advise="1">
        <values>
          <value>
            <val>110.935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1675924">
    <ddeItems>
      <ddeItem name="ASKPRICE1" advise="1">
        <values>
          <value>
            <val>106.15</val>
          </value>
        </values>
      </ddeItem>
      <ddeItem name="ASKVOLUME1" advise="1">
        <values>
          <value>
            <val>270</val>
          </value>
        </values>
      </ddeItem>
      <ddeItem name="BIDPRICE1" advise="1">
        <values>
          <value>
            <val>106.145</val>
          </value>
        </values>
      </ddeItem>
      <ddeItem name="BIDVOLUME1" advise="1">
        <values>
          <value>
            <val>58</val>
          </value>
        </values>
      </ddeItem>
      <ddeItem name="CLOSEPRICE" advise="1"/>
      <ddeItem name="FEE" advise="1"/>
      <ddeItem name="HIGH" advise="1">
        <values>
          <value>
            <val>106.2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106.145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106.14</val>
          </value>
        </values>
      </ddeItem>
      <ddeItem name="LOWERLIMITPRICE" advise="1">
        <values>
          <value>
            <val>104.89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-1.5000000000000568E-2</val>
          </value>
        </values>
      </ddeItem>
      <ddeItem name="NETCHANGERATE" advise="1">
        <values>
          <value t="str">
            <val>-0.01%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106.16</val>
          </value>
        </values>
      </ddeItem>
      <ddeItem name="POSIVOL" advise="1">
        <values>
          <value>
            <val>155169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5627</val>
          </value>
        </values>
      </ddeItem>
      <ddeItem name="PRECLOSE" advise="1">
        <values>
          <value>
            <val>106.16500000000001</val>
          </value>
        </values>
      </ddeItem>
      <ddeItem name="PRESETTLEPRICE" advise="1">
        <values>
          <value>
            <val>106.16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16186</val>
          </value>
        </values>
      </ddeItem>
      <ddeItem name="UPDATETIME" advise="1">
        <values>
          <value t="str">
            <val>09:51:32.100</val>
          </value>
        </values>
      </ddeItem>
      <ddeItem name="UPPERLIMITPRICE" advise="1">
        <values>
          <value>
            <val>107.43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746985587">
    <ddeItems>
      <ddeItem name="ASKPRICE1" advise="1">
        <values>
          <value>
            <val>113.28</val>
          </value>
        </values>
      </ddeItem>
      <ddeItem name="ASKVOLUME1" advise="1">
        <values>
          <value>
            <val>106</val>
          </value>
        </values>
      </ddeItem>
      <ddeItem name="BIDPRICE1" advise="1">
        <values>
          <value>
            <val>113.26</val>
          </value>
        </values>
      </ddeItem>
      <ddeItem name="BIDVOLUME1" advise="1">
        <values>
          <value>
            <val>60</val>
          </value>
        </values>
      </ddeItem>
      <ddeItem name="CLOSEPRICE" advise="1"/>
      <ddeItem name="FEE" advise="1"/>
      <ddeItem name="HIGH" advise="1">
        <values>
          <value>
            <val>113.3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113.26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113.01</val>
          </value>
        </values>
      </ddeItem>
      <ddeItem name="LOWERLIMITPRICE" advise="1">
        <values>
          <value>
            <val>109.01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0.30000000000001137</val>
          </value>
        </values>
      </ddeItem>
      <ddeItem name="NETCHANGERATE" advise="1">
        <values>
          <value t="str">
            <val>+0.27%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113.03</val>
          </value>
        </values>
      </ddeItem>
      <ddeItem name="POSIVOL" advise="1">
        <values>
          <value>
            <val>140696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7532</val>
          </value>
        </values>
      </ddeItem>
      <ddeItem name="PRECLOSE" advise="1">
        <values>
          <value>
            <val>112.98</val>
          </value>
        </values>
      </ddeItem>
      <ddeItem name="PRESETTLEPRICE" advise="1">
        <values>
          <value>
            <val>112.96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22562</val>
          </value>
        </values>
      </ddeItem>
      <ddeItem name="UPDATETIME" advise="1">
        <values>
          <value t="str">
            <val>09:51:32.100</val>
          </value>
        </values>
      </ddeItem>
      <ddeItem name="UPPERLIMITPRICE" advise="1">
        <values>
          <value>
            <val>116.91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88048328">
    <ddeItems>
      <ddeItem name="ASKPRICE1" advise="1">
        <values>
          <value>
            <val>102.572</val>
          </value>
        </values>
      </ddeItem>
      <ddeItem name="ASKVOLUME1" advise="1">
        <values>
          <value>
            <val>12</val>
          </value>
        </values>
      </ddeItem>
      <ddeItem name="BIDPRICE1" advise="1">
        <values>
          <value>
            <val>102.57</val>
          </value>
        </values>
      </ddeItem>
      <ddeItem name="BIDVOLUME1" advise="1">
        <values>
          <value>
            <val>124</val>
          </value>
        </values>
      </ddeItem>
      <ddeItem name="CLOSEPRICE" advise="1"/>
      <ddeItem name="FEE" advise="1"/>
      <ddeItem name="HIGH" advise="1">
        <values>
          <value>
            <val>102.586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102.572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102.57</val>
          </value>
        </values>
      </ddeItem>
      <ddeItem name="LOWERLIMITPRICE" advise="1">
        <values>
          <value>
            <val>102.06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0</val>
          </value>
        </values>
      </ddeItem>
      <ddeItem name="NETCHANGERATE" advise="1">
        <values>
          <value t="str">
            <val>0.00%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102.58199999999999</val>
          </value>
        </values>
      </ddeItem>
      <ddeItem name="POSIVOL" advise="1">
        <values>
          <value>
            <val>50367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1500</val>
          </value>
        </values>
      </ddeItem>
      <ddeItem name="PRECLOSE" advise="1">
        <values>
          <value>
            <val>102.58199999999999</val>
          </value>
        </values>
      </ddeItem>
      <ddeItem name="PRESETTLEPRICE" advise="1">
        <values>
          <value>
            <val>102.572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5295</val>
          </value>
        </values>
      </ddeItem>
      <ddeItem name="UPDATETIME" advise="1">
        <values>
          <value t="str">
            <val>09:51:32.100</val>
          </value>
        </values>
      </ddeItem>
      <ddeItem name="UPPERLIMITPRICE" advise="1">
        <values>
          <value>
            <val>103.084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63599006">
    <ddeItems>
      <ddeItem name="ASKPRICE1" advise="1">
        <values>
          <value>
            <val>7797</val>
          </value>
        </values>
      </ddeItem>
      <ddeItem name="ASKVOLUME1" advise="1">
        <values>
          <value>
            <val>2</val>
          </value>
        </values>
      </ddeItem>
      <ddeItem name="BIDPRICE1" advise="1">
        <values>
          <value>
            <val>7791</val>
          </value>
        </values>
      </ddeItem>
      <ddeItem name="BIDVOLUME1" advise="1">
        <values>
          <value>
            <val>6</val>
          </value>
        </values>
      </ddeItem>
      <ddeItem name="CLOSEPRICE" advise="1"/>
      <ddeItem name="FEE" advise="1"/>
      <ddeItem name="HIGH" advise="1">
        <values>
          <value>
            <val>8023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7795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7767</val>
          </value>
        </values>
      </ddeItem>
      <ddeItem name="LOWERLIMITPRICE" advise="1">
        <values>
          <value>
            <val>7047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0</val>
          </value>
        </values>
      </ddeItem>
      <ddeItem name="NETCHANGERATE" advise="1">
        <values>
          <value t="str">
            <val>0.00%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7872</val>
          </value>
        </values>
      </ddeItem>
      <ddeItem name="POSIVOL" advise="1">
        <values>
          <value>
            <val>13288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32</val>
          </value>
        </values>
      </ddeItem>
      <ddeItem name="PRECLOSE" advise="1">
        <values>
          <value>
            <val>7950</val>
          </value>
        </values>
      </ddeItem>
      <ddeItem name="PRESETTLEPRICE" advise="1">
        <values>
          <value>
            <val>7795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9663</val>
          </value>
        </values>
      </ddeItem>
      <ddeItem name="UPDATETIME" advise="1">
        <values>
          <value t="str">
            <val>09:51:32.757</val>
          </value>
        </values>
      </ddeItem>
      <ddeItem name="UPPERLIMITPRICE" advise="1">
        <values>
          <value>
            <val>8967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950489171">
    <ddeItems>
      <ddeItem name="ASKPRICE1" advise="1">
        <values>
          <value>
            <val>7916</val>
          </value>
        </values>
      </ddeItem>
      <ddeItem name="ASKVOLUME1" advise="1">
        <values>
          <value>
            <val>9</val>
          </value>
        </values>
      </ddeItem>
      <ddeItem name="BIDPRICE1" advise="1">
        <values>
          <value>
            <val>7913</val>
          </value>
        </values>
      </ddeItem>
      <ddeItem name="BIDVOLUME1" advise="1">
        <values>
          <value>
            <val>69</val>
          </value>
        </values>
      </ddeItem>
      <ddeItem name="CLOSEPRICE" advise="1"/>
      <ddeItem name="FEE" advise="1"/>
      <ddeItem name="HIGH" advise="1">
        <values>
          <value>
            <val>8002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7927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7897</val>
          </value>
        </values>
      </ddeItem>
      <ddeItem name="LOWERLIMITPRICE" advise="1">
        <values>
          <value>
            <val>7231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-19</val>
          </value>
        </values>
      </ddeItem>
      <ddeItem name="NETCHANGERATE" advise="1">
        <values>
          <value t="str">
            <val>-0.24%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7903</val>
          </value>
        </values>
      </ddeItem>
      <ddeItem name="POSIVOL" advise="1">
        <values>
          <value>
            <val>3160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-57</val>
          </value>
        </values>
      </ddeItem>
      <ddeItem name="PRECLOSE" advise="1">
        <values>
          <value>
            <val>7932</val>
          </value>
        </values>
      </ddeItem>
      <ddeItem name="PRESETTLEPRICE" advise="1">
        <values>
          <value>
            <val>7946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2199</val>
          </value>
        </values>
      </ddeItem>
      <ddeItem name="UPDATETIME" advise="1">
        <values>
          <value t="str">
            <val>09:51:31.757</val>
          </value>
        </values>
      </ddeItem>
      <ddeItem name="UPPERLIMITPRICE" advise="1">
        <values>
          <value>
            <val>8661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57389583">
    <ddeItems>
      <ddeItem name="ASKPRICE1" advise="1">
        <values>
          <value>
            <val>8725</val>
          </value>
        </values>
      </ddeItem>
      <ddeItem name="ASKVOLUME1" advise="1">
        <values>
          <value>
            <val>3</val>
          </value>
        </values>
      </ddeItem>
      <ddeItem name="BIDPRICE1" advise="1">
        <values>
          <value>
            <val>8721</val>
          </value>
        </values>
      </ddeItem>
      <ddeItem name="BIDVOLUME1" advise="1">
        <values>
          <value>
            <val>33</val>
          </value>
        </values>
      </ddeItem>
      <ddeItem name="CLOSEPRICE" advise="1"/>
      <ddeItem name="FEE" advise="1"/>
      <ddeItem name="HIGH" advise="1">
        <values>
          <value>
            <val>8861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8725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8700</val>
          </value>
        </values>
      </ddeItem>
      <ddeItem name="LOWERLIMITPRICE" advise="1">
        <values>
          <value>
            <val>8020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-88</val>
          </value>
        </values>
      </ddeItem>
      <ddeItem name="NETCHANGERATE" advise="1">
        <values>
          <value t="str">
            <val>-1.00%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8709</val>
          </value>
        </values>
      </ddeItem>
      <ddeItem name="POSIVOL" advise="1">
        <values>
          <value>
            <val>8631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280</val>
          </value>
        </values>
      </ddeItem>
      <ddeItem name="PRECLOSE" advise="1">
        <values>
          <value>
            <val>8789</val>
          </value>
        </values>
      </ddeItem>
      <ddeItem name="PRESETTLEPRICE" advise="1">
        <values>
          <value>
            <val>8813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3178</val>
          </value>
        </values>
      </ddeItem>
      <ddeItem name="UPDATETIME" advise="1">
        <values>
          <value t="str">
            <val>09:51:32.257</val>
          </value>
        </values>
      </ddeItem>
      <ddeItem name="UPPERLIMITPRICE" advise="1">
        <values>
          <value>
            <val>9606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44203888">
    <ddeItems>
      <ddeItem name="ASKPRICE1" advise="1">
        <values>
          <value>
            <val>4913</val>
          </value>
        </values>
      </ddeItem>
      <ddeItem name="ASKVOLUME1" advise="1">
        <values>
          <value>
            <val>70</val>
          </value>
        </values>
      </ddeItem>
      <ddeItem name="BIDPRICE1" advise="1">
        <values>
          <value>
            <val>4910</val>
          </value>
        </values>
      </ddeItem>
      <ddeItem name="BIDVOLUME1" advise="1">
        <values>
          <value>
            <val>19</val>
          </value>
        </values>
      </ddeItem>
      <ddeItem name="CLOSEPRICE" advise="1"/>
      <ddeItem name="FEE" advise="1"/>
      <ddeItem name="HIGH" advise="1">
        <values>
          <value>
            <val>4949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4917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4827</val>
          </value>
        </values>
      </ddeItem>
      <ddeItem name="LOWERLIMITPRICE" advise="1">
        <values>
          <value>
            <val>4408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74</val>
          </value>
        </values>
      </ddeItem>
      <ddeItem name="NETCHANGERATE" advise="1">
        <values>
          <value t="str">
            <val>+1.53%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4832</val>
          </value>
        </values>
      </ddeItem>
      <ddeItem name="POSIVOL" advise="1">
        <values>
          <value>
            <val>4848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37</val>
          </value>
        </values>
      </ddeItem>
      <ddeItem name="PRECLOSE" advise="1">
        <values>
          <value>
            <val>4846</val>
          </value>
        </values>
      </ddeItem>
      <ddeItem name="PRESETTLEPRICE" advise="1">
        <values>
          <value>
            <val>4843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3401</val>
          </value>
        </values>
      </ddeItem>
      <ddeItem name="UPDATETIME" advise="1">
        <values>
          <value t="str">
            <val>09:51:31.757</val>
          </value>
        </values>
      </ddeItem>
      <ddeItem name="UPPERLIMITPRICE" advise="1">
        <values>
          <value>
            <val>5278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690280577">
    <ddeItems>
      <ddeItem name="ASKPRICE1" advise="1">
        <values>
          <value>
            <val>37645</val>
          </value>
        </values>
      </ddeItem>
      <ddeItem name="ASKVOLUME1" advise="1">
        <values>
          <value>
            <val>15</val>
          </value>
        </values>
      </ddeItem>
      <ddeItem name="BIDPRICE1" advise="1">
        <values>
          <value>
            <val>37620</val>
          </value>
        </values>
      </ddeItem>
      <ddeItem name="BIDVOLUME1" advise="1">
        <values>
          <value>
            <val>10</val>
          </value>
        </values>
      </ddeItem>
      <ddeItem name="CLOSEPRICE" advise="1"/>
      <ddeItem name="FEE" advise="1"/>
      <ddeItem name="HIGH" advise="1">
        <values>
          <value>
            <val>38245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37620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37420</val>
          </value>
        </values>
      </ddeItem>
      <ddeItem name="LOWERLIMITPRICE" advise="1">
        <values>
          <value>
            <val>34025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230</val>
          </value>
        </values>
      </ddeItem>
      <ddeItem name="NETCHANGERATE" advise="1">
        <values>
          <value t="str">
            <val>+0.62%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38000</val>
          </value>
        </values>
      </ddeItem>
      <ddeItem name="POSIVOL" advise="1">
        <values>
          <value>
            <val>68614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3354</val>
          </value>
        </values>
      </ddeItem>
      <ddeItem name="PRECLOSE" advise="1">
        <values>
          <value>
            <val>37540</val>
          </value>
        </values>
      </ddeItem>
      <ddeItem name="PRESETTLEPRICE" advise="1">
        <values>
          <value>
            <val>37390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24190</val>
          </value>
        </values>
      </ddeItem>
      <ddeItem name="UPDATETIME" advise="1">
        <values>
          <value t="str">
            <val>09:51:31.891</val>
          </value>
        </values>
      </ddeItem>
      <ddeItem name="UPPERLIMITPRICE" advise="1">
        <values>
          <value>
            <val>40755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697171107">
    <ddeItems>
      <ddeItem name="ASKPRICE1" advise="1">
        <values>
          <value>
            <val>491.1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490.65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496.6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491.1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489</val>
          </value>
        </values>
      </ddeItem>
      <ddeItem name="LOWERLIMITPRICE" advise="1">
        <values>
          <value>
            <val>406.7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1.1000000000000227</val>
          </value>
        </values>
      </ddeItem>
      <ddeItem name="NETCHANGERATE" advise="1">
        <values>
          <value t="str">
            <val>+0.22%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493.35</val>
          </value>
        </values>
      </ddeItem>
      <ddeItem name="POSIVOL" advise="1">
        <values>
          <value>
            <val>9192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362</val>
          </value>
        </values>
      </ddeItem>
      <ddeItem name="PRECLOSE" advise="1">
        <values>
          <value>
            <val>488.65</val>
          </value>
        </values>
      </ddeItem>
      <ddeItem name="PRESETTLEPRICE" advise="1">
        <values>
          <value>
            <val>490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1588</val>
          </value>
        </values>
      </ddeItem>
      <ddeItem name="UPDATETIME" advise="1">
        <values>
          <value t="str">
            <val>09:51:41.578</val>
          </value>
        </values>
      </ddeItem>
      <ddeItem name="UPPERLIMITPRICE" advise="1">
        <values>
          <value>
            <val>573.29999999999995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456965489">
    <ddeItems>
      <ddeItem name="ASKPRICE1" advise="1">
        <values>
          <value>
            <val>1002.28</val>
          </value>
        </values>
      </ddeItem>
      <ddeItem name="ASKVOLUME1" advise="1">
        <values>
          <value>
            <val>8</val>
          </value>
        </values>
      </ddeItem>
      <ddeItem name="BIDPRICE1" advise="1">
        <values>
          <value>
            <val>1002.2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1005.6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1002.26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988.14</val>
          </value>
        </values>
      </ddeItem>
      <ddeItem name="LOWERLIMITPRICE" advise="1">
        <values>
          <value>
            <val>825.32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7.8799999999999955</val>
          </value>
        </values>
      </ddeItem>
      <ddeItem name="NETCHANGERATE" advise="1">
        <values>
          <value t="str">
            <val>+0.79%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993.98</val>
          </value>
        </values>
      </ddeItem>
      <ddeItem name="POSIVOL" advise="1">
        <values>
          <value>
            <val>158464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5061</val>
          </value>
        </values>
      </ddeItem>
      <ddeItem name="PRECLOSE" advise="1">
        <values>
          <value>
            <val>995.76</val>
          </value>
        </values>
      </ddeItem>
      <ddeItem name="PRESETTLEPRICE" advise="1">
        <values>
          <value>
            <val>994.38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94690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1163.42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528094293">
    <ddeItems>
      <ddeItem name="ASKPRICE1" advise="1">
        <values>
          <value>
            <val>14685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14680</val>
          </value>
        </values>
      </ddeItem>
      <ddeItem name="BIDVOLUME1" advise="1">
        <values>
          <value>
            <val>17</val>
          </value>
        </values>
      </ddeItem>
      <ddeItem name="CLOSEPRICE" advise="1"/>
      <ddeItem name="FEE" advise="1"/>
      <ddeItem name="HIGH" advise="1">
        <values>
          <value>
            <val>14945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14680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14600</val>
          </value>
        </values>
      </ddeItem>
      <ddeItem name="LOWERLIMITPRICE" advise="1">
        <values>
          <value>
            <val>13085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-190</val>
          </value>
        </values>
      </ddeItem>
      <ddeItem name="NETCHANGERATE" advise="1">
        <values>
          <value t="str">
            <val>-1.28%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14760</val>
          </value>
        </values>
      </ddeItem>
      <ddeItem name="POSIVOL" advise="1">
        <values>
          <value>
            <val>72941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1501</val>
          </value>
        </values>
      </ddeItem>
      <ddeItem name="PRECLOSE" advise="1">
        <values>
          <value>
            <val>14805</val>
          </value>
        </values>
      </ddeItem>
      <ddeItem name="PRESETTLEPRICE" advise="1">
        <values>
          <value>
            <val>14870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90720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16650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745784780">
    <ddeItems>
      <ddeItem name="ASKPRICE1" advise="1">
        <values>
          <value>
            <val>4215</val>
          </value>
        </values>
      </ddeItem>
      <ddeItem name="ASKVOLUME1" advise="1">
        <values>
          <value>
            <val>27</val>
          </value>
        </values>
      </ddeItem>
      <ddeItem name="BIDPRICE1" advise="1">
        <values>
          <value>
            <val>4214</val>
          </value>
        </values>
      </ddeItem>
      <ddeItem name="BIDVOLUME1" advise="1">
        <values>
          <value>
            <val>61</val>
          </value>
        </values>
      </ddeItem>
      <ddeItem name="CLOSEPRICE" advise="1"/>
      <ddeItem name="FEE" advise="1">
        <values>
          <value t="str">
            <val>开仓0.005055%+0.00,平仓0.005055%+0.00,平今0.000005%+0.00</val>
          </value>
        </values>
      </ddeItem>
      <ddeItem name="HIGH" advise="1">
        <values>
          <value>
            <val>4329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4214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4191</val>
          </value>
        </values>
      </ddeItem>
      <ddeItem name="LOWERLIMITPRICE" advise="1">
        <values>
          <value>
            <val>3829</val>
          </value>
        </values>
      </ddeItem>
      <ddeItem name="MARGIN" advise="1">
        <values>
          <value t="str">
            <val>9.00%</val>
          </value>
        </values>
      </ddeItem>
      <ddeItem name="MTMPL3862909776" advise="1">
        <values>
          <value>
            <val>0</val>
          </value>
        </values>
      </ddeItem>
      <ddeItem name="NETCHANGE" advise="1">
        <values>
          <value>
            <val>-138</val>
          </value>
        </values>
      </ddeItem>
      <ddeItem name="NETCHANGERATE" advise="1">
        <values>
          <value t="str">
            <val>-3.17%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4302</val>
          </value>
        </values>
      </ddeItem>
      <ddeItem name="POSIVOL" advise="1">
        <values>
          <value>
            <val>213912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2662</val>
          </value>
        </values>
      </ddeItem>
      <ddeItem name="PRECLOSE" advise="1">
        <values>
          <value>
            <val>4333</val>
          </value>
        </values>
      </ddeItem>
      <ddeItem name="PRESETTLEPRICE" advise="1">
        <values>
          <value>
            <val>4352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228542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4874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34283051">
    <ddeItems>
      <ddeItem name="ASKPRICE1" advise="1">
        <values>
          <value>
            <val>24865</val>
          </value>
        </values>
      </ddeItem>
      <ddeItem name="ASKVOLUME1" advise="1">
        <values>
          <value>
            <val>57</val>
          </value>
        </values>
      </ddeItem>
      <ddeItem name="BIDPRICE1" advise="1">
        <values>
          <value>
            <val>24860</val>
          </value>
        </values>
      </ddeItem>
      <ddeItem name="BIDVOLUME1" advise="1">
        <values>
          <value>
            <val>46</val>
          </value>
        </values>
      </ddeItem>
      <ddeItem name="CLOSEPRICE" advise="1"/>
      <ddeItem name="FEE" advise="1"/>
      <ddeItem name="HIGH" advise="1">
        <values>
          <value>
            <val>24900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24865</val>
          </value>
        </values>
      </ddeItem>
      <ddeItem name="LONGPOSITION3862909776" advise="1">
        <values>
          <value>
            <val>0</val>
          </value>
        </values>
      </ddeItem>
      <ddeItem name="LOW" advise="1">
        <values>
          <value>
            <val>24695</val>
          </value>
        </values>
      </ddeItem>
      <ddeItem name="LOWERLIMITPRICE" advise="1">
        <values>
          <value>
            <val>22300</val>
          </value>
        </values>
      </ddeItem>
      <ddeItem name="MARGIN" advise="1"/>
      <ddeItem name="MTMPL3862909776" advise="1">
        <values>
          <value>
            <val>0</val>
          </value>
        </values>
      </ddeItem>
      <ddeItem name="NETCHANGE" advise="1">
        <values>
          <value>
            <val>85</val>
          </value>
        </values>
      </ddeItem>
      <ddeItem name="NETCHANGERATE" advise="1">
        <values>
          <value t="str">
            <val>+0.34%</val>
          </value>
        </values>
      </ddeItem>
      <ddeItem name="NETVOLUME3862909776" advise="1">
        <values>
          <value>
            <val>0</val>
          </value>
        </values>
      </ddeItem>
      <ddeItem name="OPENPRICE" advise="1">
        <values>
          <value>
            <val>24790</val>
          </value>
        </values>
      </ddeItem>
      <ddeItem name="POSIVOL" advise="1">
        <values>
          <value>
            <val>104193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4987</val>
          </value>
        </values>
      </ddeItem>
      <ddeItem name="PRECLOSE" advise="1">
        <values>
          <value>
            <val>24865</val>
          </value>
        </values>
      </ddeItem>
      <ddeItem name="PRESETTLEPRICE" advise="1">
        <values>
          <value>
            <val>24780</val>
          </value>
        </values>
      </ddeItem>
      <ddeItem name="SETTLEPRICE" advise="1"/>
      <ddeItem name="SHORTPOSITION3862909776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65736</val>
          </value>
        </values>
      </ddeItem>
      <ddeItem name="UPDATETIME" advise="1">
        <values>
          <value t="str">
            <val>09:51:32.000</val>
          </value>
        </values>
      </ddeItem>
      <ddeItem name="UPPERLIMITPRICE" advise="1">
        <values>
          <value>
            <val>27255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1"/>
  <sheetViews>
    <sheetView tabSelected="1" workbookViewId="0">
      <selection activeCell="F11" sqref="F11"/>
    </sheetView>
  </sheetViews>
  <sheetFormatPr defaultRowHeight="13.8" x14ac:dyDescent="0.25"/>
  <cols>
    <col min="1" max="3" width="11.6640625" bestFit="1" customWidth="1"/>
    <col min="4" max="4" width="7.5546875" bestFit="1" customWidth="1"/>
    <col min="5" max="5" width="5.5546875" bestFit="1" customWidth="1"/>
    <col min="6" max="7" width="9.5546875" bestFit="1" customWidth="1"/>
    <col min="8" max="9" width="11.6640625" bestFit="1" customWidth="1"/>
    <col min="10" max="10" width="5.5546875" bestFit="1" customWidth="1"/>
    <col min="11" max="16" width="11.6640625" bestFit="1" customWidth="1"/>
  </cols>
  <sheetData>
    <row r="1" spans="1:41" x14ac:dyDescent="0.25">
      <c r="A1" t="s">
        <v>314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A2" t="s">
        <v>51</v>
      </c>
      <c r="B2" t="s">
        <v>209</v>
      </c>
      <c r="C2" cm="1">
        <f t="array" ref="C2">[6]!NETVOLUME3862909776</f>
        <v>0</v>
      </c>
      <c r="D2" cm="1">
        <f t="array" ref="D2">[6]!LONGPOSITION3862909776</f>
        <v>0</v>
      </c>
      <c r="E2" cm="1">
        <f t="array" ref="E2">[6]!SHORTPOSITION3862909776</f>
        <v>0</v>
      </c>
      <c r="F2" cm="1">
        <f t="array" ref="F2">[6]!MTMPL3862909776</f>
        <v>0</v>
      </c>
      <c r="G2" cm="1">
        <f t="array" ref="G2">[6]!LASTPRICE</f>
        <v>8510.4</v>
      </c>
      <c r="H2" cm="1">
        <f t="array" ref="H2">[6]!NETCHANGE</f>
        <v>17.399999999999636</v>
      </c>
      <c r="I2" t="str" cm="1">
        <f t="array" ref="I2">[6]!NETCHANGERATE</f>
        <v>+0.20%</v>
      </c>
      <c r="J2" cm="1">
        <f t="array" ref="J2">[6]!BIDVOLUME1</f>
        <v>5</v>
      </c>
      <c r="K2" cm="1">
        <f t="array" ref="K2">[6]!BIDPRICE1</f>
        <v>8508.7999999999993</v>
      </c>
      <c r="L2" cm="1">
        <f t="array" ref="L2">[6]!ASKPRICE1</f>
        <v>8511.6</v>
      </c>
      <c r="M2" cm="1">
        <f t="array" ref="M2">[6]!ASKVOLUME1</f>
        <v>1</v>
      </c>
      <c r="N2" cm="1">
        <f t="array" ref="N2">[6]!OPENPRICE</f>
        <v>8543</v>
      </c>
      <c r="O2" cm="1">
        <f t="array" ref="O2">[6]!HIGH</f>
        <v>8568</v>
      </c>
      <c r="P2" cm="1">
        <f t="array" ref="P2">[6]!LOW</f>
        <v>8485.7999999999993</v>
      </c>
      <c r="Q2" cm="1">
        <f t="array" ref="Q2">[6]!TRADEVOLUME</f>
        <v>23723</v>
      </c>
      <c r="R2" cm="1">
        <f t="array" ref="R2">[6]!POSIVOL</f>
        <v>150604</v>
      </c>
      <c r="S2" cm="1">
        <f t="array" ref="S2">[6]!POSIVOLCHANGE</f>
        <v>0</v>
      </c>
      <c r="T2" cm="1">
        <f t="array" ref="T2">[6]!POSIVOLCHANGEDAILY</f>
        <v>-9812</v>
      </c>
      <c r="U2" t="str" cm="1">
        <f t="array" ref="U2">[6]!INST_STATE</f>
        <v>连续交易</v>
      </c>
      <c r="V2" t="str" cm="1">
        <f t="array" ref="V2">[6]!UPDATETIME</f>
        <v>09:51:32.100</v>
      </c>
      <c r="W2" cm="1">
        <f t="array" ref="W2">[6]!UPPERLIMITPRICE</f>
        <v>9342.2000000000007</v>
      </c>
      <c r="X2" cm="1">
        <f t="array" ref="X2">[6]!LOWERLIMITPRICE</f>
        <v>7643.8</v>
      </c>
      <c r="Y2" t="e" cm="1">
        <f t="array" ref="Y2">[6]!CLOSEPRICE</f>
        <v>#N/A</v>
      </c>
      <c r="Z2" t="e" cm="1">
        <f t="array" ref="Z2">[6]!SETTLEPRICE</f>
        <v>#N/A</v>
      </c>
      <c r="AA2" cm="1">
        <f t="array" ref="AA2">[6]!PRECLOSE</f>
        <v>8469.2000000000007</v>
      </c>
      <c r="AB2" cm="1">
        <f t="array" ref="AB2">[6]!PRESETTLEPRICE</f>
        <v>8493</v>
      </c>
      <c r="AC2" t="s">
        <v>52</v>
      </c>
      <c r="AD2" t="s">
        <v>53</v>
      </c>
      <c r="AE2">
        <v>200</v>
      </c>
      <c r="AF2">
        <v>20260622</v>
      </c>
      <c r="AG2" t="e" cm="1">
        <f t="array" ref="AG2">[6]!MARGIN</f>
        <v>#N/A</v>
      </c>
      <c r="AH2" t="e" cm="1">
        <f t="array" ref="AH2">[6]!FEE</f>
        <v>#N/A</v>
      </c>
      <c r="AI2" t="s">
        <v>210</v>
      </c>
      <c r="AJ2" cm="1">
        <f t="array" ref="AJ2">[6]!IMPLYBIDVOLUME1</f>
        <v>0</v>
      </c>
      <c r="AK2" t="e" cm="1">
        <f t="array" ref="AK2">[6]!IMPLYBIDPRICE1</f>
        <v>#N/A</v>
      </c>
      <c r="AL2" t="e" cm="1">
        <f t="array" ref="AL2">[6]!IMPLYASKPRICE1</f>
        <v>#N/A</v>
      </c>
      <c r="AM2" cm="1">
        <f t="array" ref="AM2">[6]!IMPLYASKVOLUME1</f>
        <v>0</v>
      </c>
      <c r="AN2" cm="1">
        <f t="array" ref="AN2">[6]!VOLUMEBIDLOT</f>
        <v>0</v>
      </c>
      <c r="AO2" cm="1">
        <f t="array" ref="AO2">[6]!VOLUMEASKLOT</f>
        <v>0</v>
      </c>
    </row>
    <row r="3" spans="1:41" x14ac:dyDescent="0.25">
      <c r="A3" t="s">
        <v>54</v>
      </c>
      <c r="B3" t="s">
        <v>211</v>
      </c>
      <c r="C3" cm="1">
        <f t="array" ref="C3">[7]!NETVOLUME3862909776</f>
        <v>0</v>
      </c>
      <c r="D3" cm="1">
        <f t="array" ref="D3">[7]!LONGPOSITION3862909776</f>
        <v>0</v>
      </c>
      <c r="E3" cm="1">
        <f t="array" ref="E3">[7]!SHORTPOSITION3862909776</f>
        <v>0</v>
      </c>
      <c r="F3" cm="1">
        <f t="array" ref="F3">[7]!MTMPL3862909776</f>
        <v>0</v>
      </c>
      <c r="G3" cm="1">
        <f t="array" ref="G3">[7]!LASTPRICE</f>
        <v>4830.2</v>
      </c>
      <c r="H3" cm="1">
        <f t="array" ref="H3">[7]!NETCHANGE</f>
        <v>31.599999999999454</v>
      </c>
      <c r="I3" t="str" cm="1">
        <f t="array" ref="I3">[7]!NETCHANGERATE</f>
        <v>+0.66%</v>
      </c>
      <c r="J3" cm="1">
        <f t="array" ref="J3">[7]!BIDVOLUME1</f>
        <v>1</v>
      </c>
      <c r="K3" cm="1">
        <f t="array" ref="K3">[7]!BIDPRICE1</f>
        <v>4830</v>
      </c>
      <c r="L3" cm="1">
        <f t="array" ref="L3">[7]!ASKPRICE1</f>
        <v>4831.2</v>
      </c>
      <c r="M3" cm="1">
        <f t="array" ref="M3">[7]!ASKVOLUME1</f>
        <v>1</v>
      </c>
      <c r="N3" cm="1">
        <f t="array" ref="N3">[7]!OPENPRICE</f>
        <v>4817.8</v>
      </c>
      <c r="O3" cm="1">
        <f t="array" ref="O3">[7]!HIGH</f>
        <v>4842.8</v>
      </c>
      <c r="P3" cm="1">
        <f t="array" ref="P3">[7]!LOW</f>
        <v>4813</v>
      </c>
      <c r="Q3" cm="1">
        <f t="array" ref="Q3">[7]!TRADEVOLUME</f>
        <v>15313</v>
      </c>
      <c r="R3" cm="1">
        <f t="array" ref="R3">[7]!POSIVOL</f>
        <v>131620</v>
      </c>
      <c r="S3" cm="1">
        <f t="array" ref="S3">[7]!POSIVOLCHANGE</f>
        <v>0</v>
      </c>
      <c r="T3" cm="1">
        <f t="array" ref="T3">[7]!POSIVOLCHANGEDAILY</f>
        <v>-6873</v>
      </c>
      <c r="U3" t="str" cm="1">
        <f t="array" ref="U3">[7]!INST_STATE</f>
        <v>连续交易</v>
      </c>
      <c r="V3" t="str" cm="1">
        <f t="array" ref="V3">[7]!UPDATETIME</f>
        <v>09:51:32.100</v>
      </c>
      <c r="W3" cm="1">
        <f t="array" ref="W3">[7]!UPPERLIMITPRICE</f>
        <v>5278.4</v>
      </c>
      <c r="X3" cm="1">
        <f t="array" ref="X3">[7]!LOWERLIMITPRICE</f>
        <v>4318.8</v>
      </c>
      <c r="Y3" t="e" cm="1">
        <f t="array" ref="Y3">[7]!CLOSEPRICE</f>
        <v>#N/A</v>
      </c>
      <c r="Z3" t="e" cm="1">
        <f t="array" ref="Z3">[7]!SETTLEPRICE</f>
        <v>#N/A</v>
      </c>
      <c r="AA3" cm="1">
        <f t="array" ref="AA3">[7]!PRECLOSE</f>
        <v>4788.2</v>
      </c>
      <c r="AB3" cm="1">
        <f t="array" ref="AB3">[7]!PRESETTLEPRICE</f>
        <v>4798.6000000000004</v>
      </c>
      <c r="AC3" t="s">
        <v>52</v>
      </c>
      <c r="AD3" t="s">
        <v>55</v>
      </c>
      <c r="AE3">
        <v>300</v>
      </c>
      <c r="AF3">
        <v>20260622</v>
      </c>
      <c r="AG3" t="e" cm="1">
        <f t="array" ref="AG3">[7]!MARGIN</f>
        <v>#N/A</v>
      </c>
      <c r="AH3" t="e" cm="1">
        <f t="array" ref="AH3">[7]!FEE</f>
        <v>#N/A</v>
      </c>
      <c r="AI3" t="s">
        <v>210</v>
      </c>
      <c r="AJ3" cm="1">
        <f t="array" ref="AJ3">[7]!IMPLYBIDVOLUME1</f>
        <v>0</v>
      </c>
      <c r="AK3" t="e" cm="1">
        <f t="array" ref="AK3">[7]!IMPLYBIDPRICE1</f>
        <v>#N/A</v>
      </c>
      <c r="AL3" t="e" cm="1">
        <f t="array" ref="AL3">[7]!IMPLYASKPRICE1</f>
        <v>#N/A</v>
      </c>
      <c r="AM3" cm="1">
        <f t="array" ref="AM3">[7]!IMPLYASKVOLUME1</f>
        <v>0</v>
      </c>
      <c r="AN3" cm="1">
        <f t="array" ref="AN3">[7]!VOLUMEBIDLOT</f>
        <v>0</v>
      </c>
      <c r="AO3" cm="1">
        <f t="array" ref="AO3">[7]!VOLUMEASKLOT</f>
        <v>0</v>
      </c>
    </row>
    <row r="4" spans="1:41" x14ac:dyDescent="0.25">
      <c r="A4" t="s">
        <v>56</v>
      </c>
      <c r="B4" t="s">
        <v>212</v>
      </c>
      <c r="C4" cm="1">
        <f t="array" ref="C4">[8]!NETVOLUME3862909776</f>
        <v>0</v>
      </c>
      <c r="D4" cm="1">
        <f t="array" ref="D4">[8]!LONGPOSITION3862909776</f>
        <v>0</v>
      </c>
      <c r="E4" cm="1">
        <f t="array" ref="E4">[8]!SHORTPOSITION3862909776</f>
        <v>0</v>
      </c>
      <c r="F4" cm="1">
        <f t="array" ref="F4">[8]!MTMPL3862909776</f>
        <v>0</v>
      </c>
      <c r="G4" cm="1">
        <f t="array" ref="G4">[8]!LASTPRICE</f>
        <v>2934</v>
      </c>
      <c r="H4" cm="1">
        <f t="array" ref="H4">[8]!NETCHANGE</f>
        <v>29.400000000000091</v>
      </c>
      <c r="I4" t="str" cm="1">
        <f t="array" ref="I4">[8]!NETCHANGERATE</f>
        <v>+1.01%</v>
      </c>
      <c r="J4" cm="1">
        <f t="array" ref="J4">[8]!BIDVOLUME1</f>
        <v>2</v>
      </c>
      <c r="K4" cm="1">
        <f t="array" ref="K4">[8]!BIDPRICE1</f>
        <v>2933.8</v>
      </c>
      <c r="L4" cm="1">
        <f t="array" ref="L4">[8]!ASKPRICE1</f>
        <v>2934</v>
      </c>
      <c r="M4" cm="1">
        <f t="array" ref="M4">[8]!ASKVOLUME1</f>
        <v>1</v>
      </c>
      <c r="N4" cm="1">
        <f t="array" ref="N4">[8]!OPENPRICE</f>
        <v>2910.8</v>
      </c>
      <c r="O4" cm="1">
        <f t="array" ref="O4">[8]!HIGH</f>
        <v>2938.6</v>
      </c>
      <c r="P4" cm="1">
        <f t="array" ref="P4">[8]!LOW</f>
        <v>2908.2</v>
      </c>
      <c r="Q4" cm="1">
        <f t="array" ref="Q4">[8]!TRADEVOLUME</f>
        <v>10292</v>
      </c>
      <c r="R4" cm="1">
        <f t="array" ref="R4">[8]!POSIVOL</f>
        <v>54533</v>
      </c>
      <c r="S4" cm="1">
        <f t="array" ref="S4">[8]!POSIVOLCHANGE</f>
        <v>0</v>
      </c>
      <c r="T4" cm="1">
        <f t="array" ref="T4">[8]!POSIVOLCHANGEDAILY</f>
        <v>-4418</v>
      </c>
      <c r="U4" t="str" cm="1">
        <f t="array" ref="U4">[8]!INST_STATE</f>
        <v>连续交易</v>
      </c>
      <c r="V4" t="str" cm="1">
        <f t="array" ref="V4">[8]!UPDATETIME</f>
        <v>09:51:32.100</v>
      </c>
      <c r="W4" cm="1">
        <f t="array" ref="W4">[8]!UPPERLIMITPRICE</f>
        <v>3195</v>
      </c>
      <c r="X4" cm="1">
        <f t="array" ref="X4">[8]!LOWERLIMITPRICE</f>
        <v>2614.1999999999998</v>
      </c>
      <c r="Y4" t="e" cm="1">
        <f t="array" ref="Y4">[8]!CLOSEPRICE</f>
        <v>#N/A</v>
      </c>
      <c r="Z4" t="e" cm="1">
        <f t="array" ref="Z4">[8]!SETTLEPRICE</f>
        <v>#N/A</v>
      </c>
      <c r="AA4" cm="1">
        <f t="array" ref="AA4">[8]!PRECLOSE</f>
        <v>2899.2</v>
      </c>
      <c r="AB4" cm="1">
        <f t="array" ref="AB4">[8]!PRESETTLEPRICE</f>
        <v>2904.6</v>
      </c>
      <c r="AC4" t="s">
        <v>52</v>
      </c>
      <c r="AD4" t="s">
        <v>57</v>
      </c>
      <c r="AE4">
        <v>300</v>
      </c>
      <c r="AF4">
        <v>20260622</v>
      </c>
      <c r="AG4" t="e" cm="1">
        <f t="array" ref="AG4">[8]!MARGIN</f>
        <v>#N/A</v>
      </c>
      <c r="AH4" t="e" cm="1">
        <f t="array" ref="AH4">[8]!FEE</f>
        <v>#N/A</v>
      </c>
      <c r="AI4" t="s">
        <v>210</v>
      </c>
      <c r="AJ4" cm="1">
        <f t="array" ref="AJ4">[8]!IMPLYBIDVOLUME1</f>
        <v>0</v>
      </c>
      <c r="AK4" t="e" cm="1">
        <f t="array" ref="AK4">[8]!IMPLYBIDPRICE1</f>
        <v>#N/A</v>
      </c>
      <c r="AL4" t="e" cm="1">
        <f t="array" ref="AL4">[8]!IMPLYASKPRICE1</f>
        <v>#N/A</v>
      </c>
      <c r="AM4" cm="1">
        <f t="array" ref="AM4">[8]!IMPLYASKVOLUME1</f>
        <v>0</v>
      </c>
      <c r="AN4" cm="1">
        <f t="array" ref="AN4">[8]!VOLUMEBIDLOT</f>
        <v>0</v>
      </c>
      <c r="AO4" cm="1">
        <f t="array" ref="AO4">[8]!VOLUMEASKLOT</f>
        <v>0</v>
      </c>
    </row>
    <row r="5" spans="1:41" x14ac:dyDescent="0.25">
      <c r="A5" t="s">
        <v>58</v>
      </c>
      <c r="B5" t="s">
        <v>213</v>
      </c>
      <c r="C5" cm="1">
        <f t="array" ref="C5">[9]!NETVOLUME3862909776</f>
        <v>0</v>
      </c>
      <c r="D5" cm="1">
        <f t="array" ref="D5">[9]!LONGPOSITION3862909776</f>
        <v>0</v>
      </c>
      <c r="E5" cm="1">
        <f t="array" ref="E5">[9]!SHORTPOSITION3862909776</f>
        <v>0</v>
      </c>
      <c r="F5" cm="1">
        <f t="array" ref="F5">[9]!MTMPL3862909776</f>
        <v>0</v>
      </c>
      <c r="G5" cm="1">
        <f t="array" ref="G5">[9]!LASTPRICE</f>
        <v>8628.4</v>
      </c>
      <c r="H5" cm="1">
        <f t="array" ref="H5">[9]!NETCHANGE</f>
        <v>19.399999999999636</v>
      </c>
      <c r="I5" t="str" cm="1">
        <f t="array" ref="I5">[9]!NETCHANGERATE</f>
        <v>+0.23%</v>
      </c>
      <c r="J5" cm="1">
        <f t="array" ref="J5">[9]!BIDVOLUME1</f>
        <v>2</v>
      </c>
      <c r="K5" cm="1">
        <f t="array" ref="K5">[9]!BIDPRICE1</f>
        <v>8627.2000000000007</v>
      </c>
      <c r="L5" cm="1">
        <f t="array" ref="L5">[9]!ASKPRICE1</f>
        <v>8628.6</v>
      </c>
      <c r="M5" cm="1">
        <f t="array" ref="M5">[9]!ASKVOLUME1</f>
        <v>3</v>
      </c>
      <c r="N5" cm="1">
        <f t="array" ref="N5">[9]!OPENPRICE</f>
        <v>8670</v>
      </c>
      <c r="O5" cm="1">
        <f t="array" ref="O5">[9]!HIGH</f>
        <v>8685</v>
      </c>
      <c r="P5" cm="1">
        <f t="array" ref="P5">[9]!LOW</f>
        <v>8611</v>
      </c>
      <c r="Q5" cm="1">
        <f t="array" ref="Q5">[9]!TRADEVOLUME</f>
        <v>35507</v>
      </c>
      <c r="R5" cm="1">
        <f t="array" ref="R5">[9]!POSIVOL</f>
        <v>215173</v>
      </c>
      <c r="S5" cm="1">
        <f t="array" ref="S5">[9]!POSIVOLCHANGE</f>
        <v>0</v>
      </c>
      <c r="T5" cm="1">
        <f t="array" ref="T5">[9]!POSIVOLCHANGEDAILY</f>
        <v>-13949</v>
      </c>
      <c r="U5" t="str" cm="1">
        <f t="array" ref="U5">[9]!INST_STATE</f>
        <v>连续交易</v>
      </c>
      <c r="V5" t="str" cm="1">
        <f t="array" ref="V5">[9]!UPDATETIME</f>
        <v>09:51:31.600</v>
      </c>
      <c r="W5" cm="1">
        <f t="array" ref="W5">[9]!UPPERLIMITPRICE</f>
        <v>9469.7999999999993</v>
      </c>
      <c r="X5" cm="1">
        <f t="array" ref="X5">[9]!LOWERLIMITPRICE</f>
        <v>7748.2</v>
      </c>
      <c r="Y5" t="e" cm="1">
        <f t="array" ref="Y5">[9]!CLOSEPRICE</f>
        <v>#N/A</v>
      </c>
      <c r="Z5" t="e" cm="1">
        <f t="array" ref="Z5">[9]!SETTLEPRICE</f>
        <v>#N/A</v>
      </c>
      <c r="AA5" cm="1">
        <f t="array" ref="AA5">[9]!PRECLOSE</f>
        <v>8589.7999999999993</v>
      </c>
      <c r="AB5" cm="1">
        <f t="array" ref="AB5">[9]!PRESETTLEPRICE</f>
        <v>8609</v>
      </c>
      <c r="AC5" t="s">
        <v>52</v>
      </c>
      <c r="AD5" t="s">
        <v>59</v>
      </c>
      <c r="AE5">
        <v>200</v>
      </c>
      <c r="AF5">
        <v>20260622</v>
      </c>
      <c r="AG5" t="e" cm="1">
        <f t="array" ref="AG5">[9]!MARGIN</f>
        <v>#N/A</v>
      </c>
      <c r="AH5" t="e" cm="1">
        <f t="array" ref="AH5">[9]!FEE</f>
        <v>#N/A</v>
      </c>
      <c r="AI5" t="s">
        <v>210</v>
      </c>
      <c r="AJ5" cm="1">
        <f t="array" ref="AJ5">[9]!IMPLYBIDVOLUME1</f>
        <v>0</v>
      </c>
      <c r="AK5" t="e" cm="1">
        <f t="array" ref="AK5">[9]!IMPLYBIDPRICE1</f>
        <v>#N/A</v>
      </c>
      <c r="AL5" t="e" cm="1">
        <f t="array" ref="AL5">[9]!IMPLYASKPRICE1</f>
        <v>#N/A</v>
      </c>
      <c r="AM5" cm="1">
        <f t="array" ref="AM5">[9]!IMPLYASKVOLUME1</f>
        <v>0</v>
      </c>
      <c r="AN5" cm="1">
        <f t="array" ref="AN5">[9]!VOLUMEBIDLOT</f>
        <v>0</v>
      </c>
      <c r="AO5" cm="1">
        <f t="array" ref="AO5">[9]!VOLUMEASKLOT</f>
        <v>0</v>
      </c>
    </row>
    <row r="6" spans="1:41" x14ac:dyDescent="0.25">
      <c r="A6" t="s">
        <v>214</v>
      </c>
      <c r="B6" t="s">
        <v>215</v>
      </c>
      <c r="C6" cm="1">
        <f t="array" ref="C6">[77]!NETVOLUME3862909776</f>
        <v>0</v>
      </c>
      <c r="D6" cm="1">
        <f t="array" ref="D6">[77]!LONGPOSITION3862909776</f>
        <v>0</v>
      </c>
      <c r="E6" cm="1">
        <f t="array" ref="E6">[77]!SHORTPOSITION3862909776</f>
        <v>0</v>
      </c>
      <c r="F6" cm="1">
        <f t="array" ref="F6">[77]!MTMPL3862909776</f>
        <v>0</v>
      </c>
      <c r="G6" cm="1">
        <f t="array" ref="G6">[77]!LASTPRICE</f>
        <v>108.78</v>
      </c>
      <c r="H6" cm="1">
        <f t="array" ref="H6">[77]!NETCHANGE</f>
        <v>1.9999999999996021E-2</v>
      </c>
      <c r="I6" t="str" cm="1">
        <f t="array" ref="I6">[77]!NETCHANGERATE</f>
        <v>+0.02%</v>
      </c>
      <c r="J6" cm="1">
        <f t="array" ref="J6">[77]!BIDVOLUME1</f>
        <v>128</v>
      </c>
      <c r="K6" cm="1">
        <f t="array" ref="K6">[77]!BIDPRICE1</f>
        <v>108.77500000000001</v>
      </c>
      <c r="L6" cm="1">
        <f t="array" ref="L6">[77]!ASKPRICE1</f>
        <v>108.78</v>
      </c>
      <c r="M6" cm="1">
        <f t="array" ref="M6">[77]!ASKVOLUME1</f>
        <v>310</v>
      </c>
      <c r="N6" cm="1">
        <f t="array" ref="N6">[77]!OPENPRICE</f>
        <v>108.8</v>
      </c>
      <c r="O6" cm="1">
        <f t="array" ref="O6">[77]!HIGH</f>
        <v>108.81</v>
      </c>
      <c r="P6" cm="1">
        <f t="array" ref="P6">[77]!LOW</f>
        <v>108.765</v>
      </c>
      <c r="Q6" cm="1">
        <f t="array" ref="Q6">[77]!TRADEVOLUME</f>
        <v>29284</v>
      </c>
      <c r="R6" cm="1">
        <f t="array" ref="R6">[77]!POSIVOL</f>
        <v>234604</v>
      </c>
      <c r="S6" cm="1">
        <f t="array" ref="S6">[77]!POSIVOLCHANGE</f>
        <v>0</v>
      </c>
      <c r="T6" cm="1">
        <f t="array" ref="T6">[77]!POSIVOLCHANGEDAILY</f>
        <v>14468</v>
      </c>
      <c r="U6" t="str" cm="1">
        <f t="array" ref="U6">[77]!INST_STATE</f>
        <v>连续交易</v>
      </c>
      <c r="V6" t="str" cm="1">
        <f t="array" ref="V6">[77]!UPDATETIME</f>
        <v>09:51:31.600</v>
      </c>
      <c r="W6" cm="1">
        <f t="array" ref="W6">[77]!UPPERLIMITPRICE</f>
        <v>110.935</v>
      </c>
      <c r="X6" cm="1">
        <f t="array" ref="X6">[77]!LOWERLIMITPRICE</f>
        <v>106.58499999999999</v>
      </c>
      <c r="Y6" t="e" cm="1">
        <f t="array" ref="Y6">[77]!CLOSEPRICE</f>
        <v>#N/A</v>
      </c>
      <c r="Z6" t="e" cm="1">
        <f t="array" ref="Z6">[77]!SETTLEPRICE</f>
        <v>#N/A</v>
      </c>
      <c r="AA6" cm="1">
        <f t="array" ref="AA6">[77]!PRECLOSE</f>
        <v>108.76</v>
      </c>
      <c r="AB6" cm="1">
        <f t="array" ref="AB6">[77]!PRESETTLEPRICE</f>
        <v>108.76</v>
      </c>
      <c r="AC6" t="s">
        <v>52</v>
      </c>
      <c r="AD6" t="s">
        <v>94</v>
      </c>
      <c r="AE6">
        <v>10000</v>
      </c>
      <c r="AF6">
        <v>20260911</v>
      </c>
      <c r="AG6" t="e" cm="1">
        <f t="array" ref="AG6">[77]!MARGIN</f>
        <v>#N/A</v>
      </c>
      <c r="AH6" t="e" cm="1">
        <f t="array" ref="AH6">[77]!FEE</f>
        <v>#N/A</v>
      </c>
      <c r="AI6" t="s">
        <v>210</v>
      </c>
      <c r="AJ6" cm="1">
        <f t="array" ref="AJ6">[77]!IMPLYBIDVOLUME1</f>
        <v>0</v>
      </c>
      <c r="AK6" t="e" cm="1">
        <f t="array" ref="AK6">[77]!IMPLYBIDPRICE1</f>
        <v>#N/A</v>
      </c>
      <c r="AL6" t="e" cm="1">
        <f t="array" ref="AL6">[77]!IMPLYASKPRICE1</f>
        <v>#N/A</v>
      </c>
      <c r="AM6" cm="1">
        <f t="array" ref="AM6">[77]!IMPLYASKVOLUME1</f>
        <v>0</v>
      </c>
      <c r="AN6" cm="1">
        <f t="array" ref="AN6">[77]!VOLUMEBIDLOT</f>
        <v>0</v>
      </c>
      <c r="AO6" cm="1">
        <f t="array" ref="AO6">[77]!VOLUMEASKLOT</f>
        <v>0</v>
      </c>
    </row>
    <row r="7" spans="1:41" x14ac:dyDescent="0.25">
      <c r="A7" t="s">
        <v>216</v>
      </c>
      <c r="B7" t="s">
        <v>217</v>
      </c>
      <c r="C7" cm="1">
        <f t="array" ref="C7">[78]!NETVOLUME3862909776</f>
        <v>0</v>
      </c>
      <c r="D7" cm="1">
        <f t="array" ref="D7">[78]!LONGPOSITION3862909776</f>
        <v>0</v>
      </c>
      <c r="E7" cm="1">
        <f t="array" ref="E7">[78]!SHORTPOSITION3862909776</f>
        <v>0</v>
      </c>
      <c r="F7" cm="1">
        <f t="array" ref="F7">[78]!MTMPL3862909776</f>
        <v>0</v>
      </c>
      <c r="G7" cm="1">
        <f t="array" ref="G7">[78]!LASTPRICE</f>
        <v>106.145</v>
      </c>
      <c r="H7" cm="1">
        <f t="array" ref="H7">[78]!NETCHANGE</f>
        <v>-1.5000000000000568E-2</v>
      </c>
      <c r="I7" t="str" cm="1">
        <f t="array" ref="I7">[78]!NETCHANGERATE</f>
        <v>-0.01%</v>
      </c>
      <c r="J7" cm="1">
        <f t="array" ref="J7">[78]!BIDVOLUME1</f>
        <v>58</v>
      </c>
      <c r="K7" cm="1">
        <f t="array" ref="K7">[78]!BIDPRICE1</f>
        <v>106.145</v>
      </c>
      <c r="L7" cm="1">
        <f t="array" ref="L7">[78]!ASKPRICE1</f>
        <v>106.15</v>
      </c>
      <c r="M7" cm="1">
        <f t="array" ref="M7">[78]!ASKVOLUME1</f>
        <v>270</v>
      </c>
      <c r="N7" cm="1">
        <f t="array" ref="N7">[78]!OPENPRICE</f>
        <v>106.16</v>
      </c>
      <c r="O7" cm="1">
        <f t="array" ref="O7">[78]!HIGH</f>
        <v>106.2</v>
      </c>
      <c r="P7" cm="1">
        <f t="array" ref="P7">[78]!LOW</f>
        <v>106.14</v>
      </c>
      <c r="Q7" cm="1">
        <f t="array" ref="Q7">[78]!TRADEVOLUME</f>
        <v>16186</v>
      </c>
      <c r="R7" cm="1">
        <f t="array" ref="R7">[78]!POSIVOL</f>
        <v>155169</v>
      </c>
      <c r="S7" cm="1">
        <f t="array" ref="S7">[78]!POSIVOLCHANGE</f>
        <v>0</v>
      </c>
      <c r="T7" cm="1">
        <f t="array" ref="T7">[78]!POSIVOLCHANGEDAILY</f>
        <v>5627</v>
      </c>
      <c r="U7" t="str" cm="1">
        <f t="array" ref="U7">[78]!INST_STATE</f>
        <v>连续交易</v>
      </c>
      <c r="V7" t="str" cm="1">
        <f t="array" ref="V7">[78]!UPDATETIME</f>
        <v>09:51:32.100</v>
      </c>
      <c r="W7" cm="1">
        <f t="array" ref="W7">[78]!UPPERLIMITPRICE</f>
        <v>107.43</v>
      </c>
      <c r="X7" cm="1">
        <f t="array" ref="X7">[78]!LOWERLIMITPRICE</f>
        <v>104.89</v>
      </c>
      <c r="Y7" t="e" cm="1">
        <f t="array" ref="Y7">[78]!CLOSEPRICE</f>
        <v>#N/A</v>
      </c>
      <c r="Z7" t="e" cm="1">
        <f t="array" ref="Z7">[78]!SETTLEPRICE</f>
        <v>#N/A</v>
      </c>
      <c r="AA7" cm="1">
        <f t="array" ref="AA7">[78]!PRECLOSE</f>
        <v>106.16500000000001</v>
      </c>
      <c r="AB7" cm="1">
        <f t="array" ref="AB7">[78]!PRESETTLEPRICE</f>
        <v>106.16</v>
      </c>
      <c r="AC7" t="s">
        <v>52</v>
      </c>
      <c r="AD7" t="s">
        <v>97</v>
      </c>
      <c r="AE7">
        <v>10000</v>
      </c>
      <c r="AF7">
        <v>20260911</v>
      </c>
      <c r="AG7" t="e" cm="1">
        <f t="array" ref="AG7">[78]!MARGIN</f>
        <v>#N/A</v>
      </c>
      <c r="AH7" t="e" cm="1">
        <f t="array" ref="AH7">[78]!FEE</f>
        <v>#N/A</v>
      </c>
      <c r="AI7" t="s">
        <v>210</v>
      </c>
      <c r="AJ7" cm="1">
        <f t="array" ref="AJ7">[78]!IMPLYBIDVOLUME1</f>
        <v>0</v>
      </c>
      <c r="AK7" t="e" cm="1">
        <f t="array" ref="AK7">[78]!IMPLYBIDPRICE1</f>
        <v>#N/A</v>
      </c>
      <c r="AL7" t="e" cm="1">
        <f t="array" ref="AL7">[78]!IMPLYASKPRICE1</f>
        <v>#N/A</v>
      </c>
      <c r="AM7" cm="1">
        <f t="array" ref="AM7">[78]!IMPLYASKVOLUME1</f>
        <v>0</v>
      </c>
      <c r="AN7" cm="1">
        <f t="array" ref="AN7">[78]!VOLUMEBIDLOT</f>
        <v>0</v>
      </c>
      <c r="AO7" cm="1">
        <f t="array" ref="AO7">[78]!VOLUMEASKLOT</f>
        <v>0</v>
      </c>
    </row>
    <row r="8" spans="1:41" x14ac:dyDescent="0.25">
      <c r="A8" t="s">
        <v>218</v>
      </c>
      <c r="B8" t="s">
        <v>219</v>
      </c>
      <c r="C8" cm="1">
        <f t="array" ref="C8">[79]!NETVOLUME3862909776</f>
        <v>0</v>
      </c>
      <c r="D8" cm="1">
        <f t="array" ref="D8">[79]!LONGPOSITION3862909776</f>
        <v>0</v>
      </c>
      <c r="E8" cm="1">
        <f t="array" ref="E8">[79]!SHORTPOSITION3862909776</f>
        <v>0</v>
      </c>
      <c r="F8" cm="1">
        <f t="array" ref="F8">[79]!MTMPL3862909776</f>
        <v>0</v>
      </c>
      <c r="G8" cm="1">
        <f t="array" ref="G8">[79]!LASTPRICE</f>
        <v>113.26</v>
      </c>
      <c r="H8" cm="1">
        <f t="array" ref="H8">[79]!NETCHANGE</f>
        <v>0.30000000000001137</v>
      </c>
      <c r="I8" t="str" cm="1">
        <f t="array" ref="I8">[79]!NETCHANGERATE</f>
        <v>+0.27%</v>
      </c>
      <c r="J8" cm="1">
        <f t="array" ref="J8">[79]!BIDVOLUME1</f>
        <v>60</v>
      </c>
      <c r="K8" cm="1">
        <f t="array" ref="K8">[79]!BIDPRICE1</f>
        <v>113.26</v>
      </c>
      <c r="L8" cm="1">
        <f t="array" ref="L8">[79]!ASKPRICE1</f>
        <v>113.28</v>
      </c>
      <c r="M8" cm="1">
        <f t="array" ref="M8">[79]!ASKVOLUME1</f>
        <v>106</v>
      </c>
      <c r="N8" cm="1">
        <f t="array" ref="N8">[79]!OPENPRICE</f>
        <v>113.03</v>
      </c>
      <c r="O8" cm="1">
        <f t="array" ref="O8">[79]!HIGH</f>
        <v>113.3</v>
      </c>
      <c r="P8" cm="1">
        <f t="array" ref="P8">[79]!LOW</f>
        <v>113.01</v>
      </c>
      <c r="Q8" cm="1">
        <f t="array" ref="Q8">[79]!TRADEVOLUME</f>
        <v>22562</v>
      </c>
      <c r="R8" cm="1">
        <f t="array" ref="R8">[79]!POSIVOL</f>
        <v>140696</v>
      </c>
      <c r="S8" cm="1">
        <f t="array" ref="S8">[79]!POSIVOLCHANGE</f>
        <v>0</v>
      </c>
      <c r="T8" cm="1">
        <f t="array" ref="T8">[79]!POSIVOLCHANGEDAILY</f>
        <v>7532</v>
      </c>
      <c r="U8" t="str" cm="1">
        <f t="array" ref="U8">[79]!INST_STATE</f>
        <v>连续交易</v>
      </c>
      <c r="V8" t="str" cm="1">
        <f t="array" ref="V8">[79]!UPDATETIME</f>
        <v>09:51:32.100</v>
      </c>
      <c r="W8" cm="1">
        <f t="array" ref="W8">[79]!UPPERLIMITPRICE</f>
        <v>116.91</v>
      </c>
      <c r="X8" cm="1">
        <f t="array" ref="X8">[79]!LOWERLIMITPRICE</f>
        <v>109.01</v>
      </c>
      <c r="Y8" t="e" cm="1">
        <f t="array" ref="Y8">[79]!CLOSEPRICE</f>
        <v>#N/A</v>
      </c>
      <c r="Z8" t="e" cm="1">
        <f t="array" ref="Z8">[79]!SETTLEPRICE</f>
        <v>#N/A</v>
      </c>
      <c r="AA8" cm="1">
        <f t="array" ref="AA8">[79]!PRECLOSE</f>
        <v>112.98</v>
      </c>
      <c r="AB8" cm="1">
        <f t="array" ref="AB8">[79]!PRESETTLEPRICE</f>
        <v>112.96</v>
      </c>
      <c r="AC8" t="s">
        <v>52</v>
      </c>
      <c r="AD8" t="s">
        <v>98</v>
      </c>
      <c r="AE8">
        <v>10000</v>
      </c>
      <c r="AF8">
        <v>20260911</v>
      </c>
      <c r="AG8" t="e" cm="1">
        <f t="array" ref="AG8">[79]!MARGIN</f>
        <v>#N/A</v>
      </c>
      <c r="AH8" t="e" cm="1">
        <f t="array" ref="AH8">[79]!FEE</f>
        <v>#N/A</v>
      </c>
      <c r="AI8" t="s">
        <v>210</v>
      </c>
      <c r="AJ8" cm="1">
        <f t="array" ref="AJ8">[79]!IMPLYBIDVOLUME1</f>
        <v>0</v>
      </c>
      <c r="AK8" t="e" cm="1">
        <f t="array" ref="AK8">[79]!IMPLYBIDPRICE1</f>
        <v>#N/A</v>
      </c>
      <c r="AL8" t="e" cm="1">
        <f t="array" ref="AL8">[79]!IMPLYASKPRICE1</f>
        <v>#N/A</v>
      </c>
      <c r="AM8" cm="1">
        <f t="array" ref="AM8">[79]!IMPLYASKVOLUME1</f>
        <v>0</v>
      </c>
      <c r="AN8" cm="1">
        <f t="array" ref="AN8">[79]!VOLUMEBIDLOT</f>
        <v>0</v>
      </c>
      <c r="AO8" cm="1">
        <f t="array" ref="AO8">[79]!VOLUMEASKLOT</f>
        <v>0</v>
      </c>
    </row>
    <row r="9" spans="1:41" x14ac:dyDescent="0.25">
      <c r="A9" t="s">
        <v>220</v>
      </c>
      <c r="B9" t="s">
        <v>221</v>
      </c>
      <c r="C9" cm="1">
        <f t="array" ref="C9">[80]!NETVOLUME3862909776</f>
        <v>0</v>
      </c>
      <c r="D9" cm="1">
        <f t="array" ref="D9">[80]!LONGPOSITION3862909776</f>
        <v>0</v>
      </c>
      <c r="E9" cm="1">
        <f t="array" ref="E9">[80]!SHORTPOSITION3862909776</f>
        <v>0</v>
      </c>
      <c r="F9" cm="1">
        <f t="array" ref="F9">[80]!MTMPL3862909776</f>
        <v>0</v>
      </c>
      <c r="G9" cm="1">
        <f t="array" ref="G9">[80]!LASTPRICE</f>
        <v>102.572</v>
      </c>
      <c r="H9" cm="1">
        <f t="array" ref="H9">[80]!NETCHANGE</f>
        <v>0</v>
      </c>
      <c r="I9" t="str" cm="1">
        <f t="array" ref="I9">[80]!NETCHANGERATE</f>
        <v>0.00%</v>
      </c>
      <c r="J9" cm="1">
        <f t="array" ref="J9">[80]!BIDVOLUME1</f>
        <v>124</v>
      </c>
      <c r="K9" cm="1">
        <f t="array" ref="K9">[80]!BIDPRICE1</f>
        <v>102.57</v>
      </c>
      <c r="L9" cm="1">
        <f t="array" ref="L9">[80]!ASKPRICE1</f>
        <v>102.572</v>
      </c>
      <c r="M9" cm="1">
        <f t="array" ref="M9">[80]!ASKVOLUME1</f>
        <v>12</v>
      </c>
      <c r="N9" cm="1">
        <f t="array" ref="N9">[80]!OPENPRICE</f>
        <v>102.58199999999999</v>
      </c>
      <c r="O9" cm="1">
        <f t="array" ref="O9">[80]!HIGH</f>
        <v>102.586</v>
      </c>
      <c r="P9" cm="1">
        <f t="array" ref="P9">[80]!LOW</f>
        <v>102.57</v>
      </c>
      <c r="Q9" cm="1">
        <f t="array" ref="Q9">[80]!TRADEVOLUME</f>
        <v>5295</v>
      </c>
      <c r="R9" cm="1">
        <f t="array" ref="R9">[80]!POSIVOL</f>
        <v>50367</v>
      </c>
      <c r="S9" cm="1">
        <f t="array" ref="S9">[80]!POSIVOLCHANGE</f>
        <v>0</v>
      </c>
      <c r="T9" cm="1">
        <f t="array" ref="T9">[80]!POSIVOLCHANGEDAILY</f>
        <v>1500</v>
      </c>
      <c r="U9" t="str" cm="1">
        <f t="array" ref="U9">[80]!INST_STATE</f>
        <v>连续交易</v>
      </c>
      <c r="V9" t="str" cm="1">
        <f t="array" ref="V9">[80]!UPDATETIME</f>
        <v>09:51:32.100</v>
      </c>
      <c r="W9" cm="1">
        <f t="array" ref="W9">[80]!UPPERLIMITPRICE</f>
        <v>103.084</v>
      </c>
      <c r="X9" cm="1">
        <f t="array" ref="X9">[80]!LOWERLIMITPRICE</f>
        <v>102.06</v>
      </c>
      <c r="Y9" t="e" cm="1">
        <f t="array" ref="Y9">[80]!CLOSEPRICE</f>
        <v>#N/A</v>
      </c>
      <c r="Z9" t="e" cm="1">
        <f t="array" ref="Z9">[80]!SETTLEPRICE</f>
        <v>#N/A</v>
      </c>
      <c r="AA9" cm="1">
        <f t="array" ref="AA9">[80]!PRECLOSE</f>
        <v>102.58199999999999</v>
      </c>
      <c r="AB9" cm="1">
        <f t="array" ref="AB9">[80]!PRESETTLEPRICE</f>
        <v>102.572</v>
      </c>
      <c r="AC9" t="s">
        <v>52</v>
      </c>
      <c r="AD9" t="s">
        <v>99</v>
      </c>
      <c r="AE9">
        <v>20000</v>
      </c>
      <c r="AF9">
        <v>20260911</v>
      </c>
      <c r="AG9" t="e" cm="1">
        <f t="array" ref="AG9">[80]!MARGIN</f>
        <v>#N/A</v>
      </c>
      <c r="AH9" t="e" cm="1">
        <f t="array" ref="AH9">[80]!FEE</f>
        <v>#N/A</v>
      </c>
      <c r="AI9" t="s">
        <v>210</v>
      </c>
      <c r="AJ9" cm="1">
        <f t="array" ref="AJ9">[80]!IMPLYBIDVOLUME1</f>
        <v>0</v>
      </c>
      <c r="AK9" t="e" cm="1">
        <f t="array" ref="AK9">[80]!IMPLYBIDPRICE1</f>
        <v>#N/A</v>
      </c>
      <c r="AL9" t="e" cm="1">
        <f t="array" ref="AL9">[80]!IMPLYASKPRICE1</f>
        <v>#N/A</v>
      </c>
      <c r="AM9" cm="1">
        <f t="array" ref="AM9">[80]!IMPLYASKVOLUME1</f>
        <v>0</v>
      </c>
      <c r="AN9" cm="1">
        <f t="array" ref="AN9">[80]!VOLUMEBIDLOT</f>
        <v>0</v>
      </c>
      <c r="AO9" cm="1">
        <f t="array" ref="AO9">[80]!VOLUMEASKLOT</f>
        <v>0</v>
      </c>
    </row>
    <row r="10" spans="1:41" x14ac:dyDescent="0.25">
      <c r="A10" t="s">
        <v>40</v>
      </c>
      <c r="B10" t="s">
        <v>222</v>
      </c>
      <c r="C10" cm="1">
        <f t="array" ref="C10">[1]!NETVOLUME3862909776</f>
        <v>0</v>
      </c>
      <c r="D10" cm="1">
        <f t="array" ref="D10">[1]!LONGPOSITION3862909776</f>
        <v>0</v>
      </c>
      <c r="E10" cm="1">
        <f t="array" ref="E10">[1]!SHORTPOSITION3862909776</f>
        <v>0</v>
      </c>
      <c r="F10" cm="1">
        <f t="array" ref="F10">[1]!MTMPL3862909776</f>
        <v>0</v>
      </c>
      <c r="G10" cm="1">
        <f t="array" ref="G10">[1]!LASTPRICE</f>
        <v>7574</v>
      </c>
      <c r="H10" cm="1">
        <f t="array" ref="H10">[1]!NETCHANGE</f>
        <v>49</v>
      </c>
      <c r="I10" t="str" cm="1">
        <f t="array" ref="I10">[1]!NETCHANGERATE</f>
        <v>+0.65%</v>
      </c>
      <c r="J10" cm="1">
        <f t="array" ref="J10">[1]!BIDVOLUME1</f>
        <v>15</v>
      </c>
      <c r="K10" cm="1">
        <f t="array" ref="K10">[1]!BIDPRICE1</f>
        <v>7574</v>
      </c>
      <c r="L10" cm="1">
        <f t="array" ref="L10">[1]!ASKPRICE1</f>
        <v>7575</v>
      </c>
      <c r="M10" cm="1">
        <f t="array" ref="M10">[1]!ASKVOLUME1</f>
        <v>3</v>
      </c>
      <c r="N10" cm="1">
        <f t="array" ref="N10">[1]!OPENPRICE</f>
        <v>7541</v>
      </c>
      <c r="O10" cm="1">
        <f t="array" ref="O10">[1]!HIGH</f>
        <v>7630</v>
      </c>
      <c r="P10" cm="1">
        <f t="array" ref="P10">[1]!LOW</f>
        <v>7514</v>
      </c>
      <c r="Q10" cm="1">
        <f t="array" ref="Q10">[1]!TRADEVOLUME</f>
        <v>39244</v>
      </c>
      <c r="R10" cm="1">
        <f t="array" ref="R10">[1]!POSIVOL</f>
        <v>111035</v>
      </c>
      <c r="S10" cm="1">
        <f t="array" ref="S10">[1]!POSIVOLCHANGE</f>
        <v>0</v>
      </c>
      <c r="T10" cm="1">
        <f t="array" ref="T10">[1]!POSIVOLCHANGEDAILY</f>
        <v>1556</v>
      </c>
      <c r="U10" t="str" cm="1">
        <f t="array" ref="U10">[1]!INST_STATE</f>
        <v>连续交易</v>
      </c>
      <c r="V10" t="str" cm="1">
        <f t="array" ref="V10">[1]!UPDATETIME</f>
        <v>09:51:32.000</v>
      </c>
      <c r="W10" cm="1">
        <f t="array" ref="W10">[1]!UPPERLIMITPRICE</f>
        <v>8127</v>
      </c>
      <c r="X10" cm="1">
        <f t="array" ref="X10">[1]!LOWERLIMITPRICE</f>
        <v>6923</v>
      </c>
      <c r="Y10" t="e" cm="1">
        <f t="array" ref="Y10">[1]!CLOSEPRICE</f>
        <v>#N/A</v>
      </c>
      <c r="Z10" t="e" cm="1">
        <f t="array" ref="Z10">[1]!SETTLEPRICE</f>
        <v>#N/A</v>
      </c>
      <c r="AA10" cm="1">
        <f t="array" ref="AA10">[1]!PRECLOSE</f>
        <v>7560</v>
      </c>
      <c r="AB10" cm="1">
        <f t="array" ref="AB10">[1]!PRESETTLEPRICE</f>
        <v>7525</v>
      </c>
      <c r="AC10" t="s">
        <v>41</v>
      </c>
      <c r="AD10" t="s">
        <v>42</v>
      </c>
      <c r="AE10">
        <v>10</v>
      </c>
      <c r="AF10">
        <v>20261021</v>
      </c>
      <c r="AG10" t="e" cm="1">
        <f t="array" ref="AG10">[1]!MARGIN</f>
        <v>#N/A</v>
      </c>
      <c r="AH10" t="e" cm="1">
        <f t="array" ref="AH10">[1]!FEE</f>
        <v>#N/A</v>
      </c>
      <c r="AI10" t="s">
        <v>210</v>
      </c>
      <c r="AJ10" cm="1">
        <f t="array" ref="AJ10">[1]!IMPLYBIDVOLUME1</f>
        <v>0</v>
      </c>
      <c r="AK10" t="e" cm="1">
        <f t="array" ref="AK10">[1]!IMPLYBIDPRICE1</f>
        <v>#N/A</v>
      </c>
      <c r="AL10" t="e" cm="1">
        <f t="array" ref="AL10">[1]!IMPLYASKPRICE1</f>
        <v>#N/A</v>
      </c>
      <c r="AM10" cm="1">
        <f t="array" ref="AM10">[1]!IMPLYASKVOLUME1</f>
        <v>0</v>
      </c>
      <c r="AN10" cm="1">
        <f t="array" ref="AN10">[1]!VOLUMEBIDLOT</f>
        <v>0</v>
      </c>
      <c r="AO10" cm="1">
        <f t="array" ref="AO10">[1]!VOLUMEASKLOT</f>
        <v>0</v>
      </c>
    </row>
    <row r="11" spans="1:41" x14ac:dyDescent="0.25">
      <c r="A11" t="s">
        <v>43</v>
      </c>
      <c r="B11" t="s">
        <v>223</v>
      </c>
      <c r="C11" cm="1">
        <f t="array" ref="C11">[2]!NETVOLUME3862909776</f>
        <v>0</v>
      </c>
      <c r="D11" cm="1">
        <f t="array" ref="D11">[2]!LONGPOSITION3862909776</f>
        <v>0</v>
      </c>
      <c r="E11" cm="1">
        <f t="array" ref="E11">[2]!SHORTPOSITION3862909776</f>
        <v>0</v>
      </c>
      <c r="F11" cm="1">
        <f t="array" ref="F11">[2]!MTMPL3862909776</f>
        <v>0</v>
      </c>
      <c r="G11" cm="1">
        <f t="array" ref="G11">[2]!LASTPRICE</f>
        <v>15960</v>
      </c>
      <c r="H11" cm="1">
        <f t="array" ref="H11">[2]!NETCHANGE</f>
        <v>40</v>
      </c>
      <c r="I11" t="str" cm="1">
        <f t="array" ref="I11">[2]!NETCHANGERATE</f>
        <v>+0.25%</v>
      </c>
      <c r="J11" cm="1">
        <f t="array" ref="J11">[2]!BIDVOLUME1</f>
        <v>361</v>
      </c>
      <c r="K11" cm="1">
        <f t="array" ref="K11">[2]!BIDPRICE1</f>
        <v>15955</v>
      </c>
      <c r="L11" cm="1">
        <f t="array" ref="L11">[2]!ASKPRICE1</f>
        <v>15960</v>
      </c>
      <c r="M11" cm="1">
        <f t="array" ref="M11">[2]!ASKVOLUME1</f>
        <v>297</v>
      </c>
      <c r="N11" cm="1">
        <f t="array" ref="N11">[2]!OPENPRICE</f>
        <v>15890</v>
      </c>
      <c r="O11" cm="1">
        <f t="array" ref="O11">[2]!HIGH</f>
        <v>16015</v>
      </c>
      <c r="P11" cm="1">
        <f t="array" ref="P11">[2]!LOW</f>
        <v>15860</v>
      </c>
      <c r="Q11" cm="1">
        <f t="array" ref="Q11">[2]!TRADEVOLUME</f>
        <v>243228</v>
      </c>
      <c r="R11" cm="1">
        <f t="array" ref="R11">[2]!POSIVOL</f>
        <v>667394</v>
      </c>
      <c r="S11" cm="1">
        <f t="array" ref="S11">[2]!POSIVOLCHANGE</f>
        <v>0</v>
      </c>
      <c r="T11" cm="1">
        <f t="array" ref="T11">[2]!POSIVOLCHANGEDAILY</f>
        <v>6305</v>
      </c>
      <c r="U11" t="str" cm="1">
        <f t="array" ref="U11">[2]!INST_STATE</f>
        <v>连续交易</v>
      </c>
      <c r="V11" t="str" cm="1">
        <f t="array" ref="V11">[2]!UPDATETIME</f>
        <v>09:51:32.000</v>
      </c>
      <c r="W11" cm="1">
        <f t="array" ref="W11">[2]!UPPERLIMITPRICE</f>
        <v>16880</v>
      </c>
      <c r="X11" cm="1">
        <f t="array" ref="X11">[2]!LOWERLIMITPRICE</f>
        <v>14960</v>
      </c>
      <c r="Y11" t="e" cm="1">
        <f t="array" ref="Y11">[2]!CLOSEPRICE</f>
        <v>#N/A</v>
      </c>
      <c r="Z11" cm="1">
        <f t="array" ref="Z11">[2]!SETTLEPRICE</f>
        <v>15900</v>
      </c>
      <c r="AA11" cm="1">
        <f t="array" ref="AA11">[2]!PRECLOSE</f>
        <v>15895</v>
      </c>
      <c r="AB11" cm="1">
        <f t="array" ref="AB11">[2]!PRESETTLEPRICE</f>
        <v>15920</v>
      </c>
      <c r="AC11" t="s">
        <v>41</v>
      </c>
      <c r="AD11" t="s">
        <v>44</v>
      </c>
      <c r="AE11">
        <v>5</v>
      </c>
      <c r="AF11">
        <v>20260914</v>
      </c>
      <c r="AG11" t="e" cm="1">
        <f t="array" ref="AG11">[2]!MARGIN</f>
        <v>#N/A</v>
      </c>
      <c r="AH11" t="e" cm="1">
        <f t="array" ref="AH11">[2]!FEE</f>
        <v>#N/A</v>
      </c>
      <c r="AI11" t="s">
        <v>210</v>
      </c>
      <c r="AJ11" cm="1">
        <f t="array" ref="AJ11">[2]!IMPLYBIDVOLUME1</f>
        <v>0</v>
      </c>
      <c r="AK11" t="e" cm="1">
        <f t="array" ref="AK11">[2]!IMPLYBIDPRICE1</f>
        <v>#N/A</v>
      </c>
      <c r="AL11" t="e" cm="1">
        <f t="array" ref="AL11">[2]!IMPLYASKPRICE1</f>
        <v>#N/A</v>
      </c>
      <c r="AM11" cm="1">
        <f t="array" ref="AM11">[2]!IMPLYASKVOLUME1</f>
        <v>0</v>
      </c>
      <c r="AN11" cm="1">
        <f t="array" ref="AN11">[2]!VOLUMEBIDLOT</f>
        <v>0</v>
      </c>
      <c r="AO11" cm="1">
        <f t="array" ref="AO11">[2]!VOLUMEASKLOT</f>
        <v>0</v>
      </c>
    </row>
    <row r="12" spans="1:41" x14ac:dyDescent="0.25">
      <c r="A12" t="s">
        <v>45</v>
      </c>
      <c r="B12" t="s">
        <v>224</v>
      </c>
      <c r="C12" cm="1">
        <f t="array" ref="C12">[3]!NETVOLUME3862909776</f>
        <v>0</v>
      </c>
      <c r="D12" cm="1">
        <f t="array" ref="D12">[3]!LONGPOSITION3862909776</f>
        <v>0</v>
      </c>
      <c r="E12" cm="1">
        <f t="array" ref="E12">[3]!SHORTPOSITION3862909776</f>
        <v>0</v>
      </c>
      <c r="F12" cm="1">
        <f t="array" ref="F12">[3]!MTMPL3862909776</f>
        <v>0</v>
      </c>
      <c r="G12" cm="1">
        <f t="array" ref="G12">[3]!LASTPRICE</f>
        <v>8975</v>
      </c>
      <c r="H12" cm="1">
        <f t="array" ref="H12">[3]!NETCHANGE</f>
        <v>60</v>
      </c>
      <c r="I12" t="str" cm="1">
        <f t="array" ref="I12">[3]!NETCHANGERATE</f>
        <v>+0.67%</v>
      </c>
      <c r="J12" cm="1">
        <f t="array" ref="J12">[3]!BIDVOLUME1</f>
        <v>90</v>
      </c>
      <c r="K12" cm="1">
        <f t="array" ref="K12">[3]!BIDPRICE1</f>
        <v>8975</v>
      </c>
      <c r="L12" cm="1">
        <f t="array" ref="L12">[3]!ASKPRICE1</f>
        <v>8980</v>
      </c>
      <c r="M12" cm="1">
        <f t="array" ref="M12">[3]!ASKVOLUME1</f>
        <v>99</v>
      </c>
      <c r="N12" cm="1">
        <f t="array" ref="N12">[3]!OPENPRICE</f>
        <v>8890</v>
      </c>
      <c r="O12" cm="1">
        <f t="array" ref="O12">[3]!HIGH</f>
        <v>9000</v>
      </c>
      <c r="P12" cm="1">
        <f t="array" ref="P12">[3]!LOW</f>
        <v>8890</v>
      </c>
      <c r="Q12" cm="1">
        <f t="array" ref="Q12">[3]!TRADEVOLUME</f>
        <v>28547</v>
      </c>
      <c r="R12" cm="1">
        <f t="array" ref="R12">[3]!POSIVOL</f>
        <v>120340</v>
      </c>
      <c r="S12" cm="1">
        <f t="array" ref="S12">[3]!POSIVOLCHANGE</f>
        <v>0</v>
      </c>
      <c r="T12" cm="1">
        <f t="array" ref="T12">[3]!POSIVOLCHANGEDAILY</f>
        <v>859</v>
      </c>
      <c r="U12" t="str" cm="1">
        <f t="array" ref="U12">[3]!INST_STATE</f>
        <v>连续交易</v>
      </c>
      <c r="V12" t="str" cm="1">
        <f t="array" ref="V12">[3]!UPDATETIME</f>
        <v>09:51:32.000</v>
      </c>
      <c r="W12" cm="1">
        <f t="array" ref="W12">[3]!UPPERLIMITPRICE</f>
        <v>9540</v>
      </c>
      <c r="X12" cm="1">
        <f t="array" ref="X12">[3]!LOWERLIMITPRICE</f>
        <v>8290</v>
      </c>
      <c r="Y12" t="e" cm="1">
        <f t="array" ref="Y12">[3]!CLOSEPRICE</f>
        <v>#N/A</v>
      </c>
      <c r="Z12" t="e" cm="1">
        <f t="array" ref="Z12">[3]!SETTLEPRICE</f>
        <v>#N/A</v>
      </c>
      <c r="AA12" cm="1">
        <f t="array" ref="AA12">[3]!PRECLOSE</f>
        <v>8900</v>
      </c>
      <c r="AB12" cm="1">
        <f t="array" ref="AB12">[3]!PRESETTLEPRICE</f>
        <v>8915</v>
      </c>
      <c r="AC12" t="s">
        <v>41</v>
      </c>
      <c r="AD12" t="s">
        <v>46</v>
      </c>
      <c r="AE12">
        <v>5</v>
      </c>
      <c r="AF12">
        <v>20260914</v>
      </c>
      <c r="AG12" t="e" cm="1">
        <f t="array" ref="AG12">[3]!MARGIN</f>
        <v>#N/A</v>
      </c>
      <c r="AH12" t="e" cm="1">
        <f t="array" ref="AH12">[3]!FEE</f>
        <v>#N/A</v>
      </c>
      <c r="AI12" t="s">
        <v>210</v>
      </c>
      <c r="AJ12" cm="1">
        <f t="array" ref="AJ12">[3]!IMPLYBIDVOLUME1</f>
        <v>0</v>
      </c>
      <c r="AK12" t="e" cm="1">
        <f t="array" ref="AK12">[3]!IMPLYBIDPRICE1</f>
        <v>#N/A</v>
      </c>
      <c r="AL12" t="e" cm="1">
        <f t="array" ref="AL12">[3]!IMPLYASKPRICE1</f>
        <v>#N/A</v>
      </c>
      <c r="AM12" cm="1">
        <f t="array" ref="AM12">[3]!IMPLYASKVOLUME1</f>
        <v>0</v>
      </c>
      <c r="AN12" cm="1">
        <f t="array" ref="AN12">[3]!VOLUMEBIDLOT</f>
        <v>0</v>
      </c>
      <c r="AO12" cm="1">
        <f t="array" ref="AO12">[3]!VOLUMEASKLOT</f>
        <v>0</v>
      </c>
    </row>
    <row r="13" spans="1:41" x14ac:dyDescent="0.25">
      <c r="A13" t="s">
        <v>47</v>
      </c>
      <c r="B13" t="s">
        <v>225</v>
      </c>
      <c r="C13" cm="1">
        <f t="array" ref="C13">[4]!NETVOLUME3862909776</f>
        <v>0</v>
      </c>
      <c r="D13" cm="1">
        <f t="array" ref="D13">[4]!LONGPOSITION3862909776</f>
        <v>0</v>
      </c>
      <c r="E13" cm="1">
        <f t="array" ref="E13">[4]!SHORTPOSITION3862909776</f>
        <v>0</v>
      </c>
      <c r="F13" cm="1">
        <f t="array" ref="F13">[4]!MTMPL3862909776</f>
        <v>0</v>
      </c>
      <c r="G13" cm="1">
        <f t="array" ref="G13">[4]!LASTPRICE</f>
        <v>22110</v>
      </c>
      <c r="H13" cm="1">
        <f t="array" ref="H13">[4]!NETCHANGE</f>
        <v>140</v>
      </c>
      <c r="I13" t="str" cm="1">
        <f t="array" ref="I13">[4]!NETCHANGERATE</f>
        <v>+0.64%</v>
      </c>
      <c r="J13" cm="1">
        <f t="array" ref="J13">[4]!BIDVOLUME1</f>
        <v>1</v>
      </c>
      <c r="K13" cm="1">
        <f t="array" ref="K13">[4]!BIDPRICE1</f>
        <v>22110</v>
      </c>
      <c r="L13" cm="1">
        <f t="array" ref="L13">[4]!ASKPRICE1</f>
        <v>22115</v>
      </c>
      <c r="M13" cm="1">
        <f t="array" ref="M13">[4]!ASKVOLUME1</f>
        <v>6</v>
      </c>
      <c r="N13" cm="1">
        <f t="array" ref="N13">[4]!OPENPRICE</f>
        <v>21975</v>
      </c>
      <c r="O13" cm="1">
        <f t="array" ref="O13">[4]!HIGH</f>
        <v>22150</v>
      </c>
      <c r="P13" cm="1">
        <f t="array" ref="P13">[4]!LOW</f>
        <v>21960</v>
      </c>
      <c r="Q13" cm="1">
        <f t="array" ref="Q13">[4]!TRADEVOLUME</f>
        <v>3674</v>
      </c>
      <c r="R13" cm="1">
        <f t="array" ref="R13">[4]!POSIVOL</f>
        <v>11692</v>
      </c>
      <c r="S13" cm="1">
        <f t="array" ref="S13">[4]!POSIVOLCHANGE</f>
        <v>0</v>
      </c>
      <c r="T13" cm="1">
        <f t="array" ref="T13">[4]!POSIVOLCHANGEDAILY</f>
        <v>-636</v>
      </c>
      <c r="U13" t="str" cm="1">
        <f t="array" ref="U13">[4]!INST_STATE</f>
        <v>连续交易</v>
      </c>
      <c r="V13" t="str" cm="1">
        <f t="array" ref="V13">[4]!UPDATETIME</f>
        <v>09:51:39.000</v>
      </c>
      <c r="W13" cm="1">
        <f t="array" ref="W13">[4]!UPPERLIMITPRICE</f>
        <v>22850</v>
      </c>
      <c r="X13" cm="1">
        <f t="array" ref="X13">[4]!LOWERLIMITPRICE</f>
        <v>21090</v>
      </c>
      <c r="Y13" t="e" cm="1">
        <f t="array" ref="Y13">[4]!CLOSEPRICE</f>
        <v>#N/A</v>
      </c>
      <c r="Z13" cm="1">
        <f t="array" ref="Z13">[4]!SETTLEPRICE</f>
        <v>22000</v>
      </c>
      <c r="AA13" cm="1">
        <f t="array" ref="AA13">[4]!PRECLOSE</f>
        <v>22005</v>
      </c>
      <c r="AB13" cm="1">
        <f t="array" ref="AB13">[4]!PRESETTLEPRICE</f>
        <v>21970</v>
      </c>
      <c r="AC13" t="s">
        <v>41</v>
      </c>
      <c r="AD13" t="s">
        <v>48</v>
      </c>
      <c r="AE13">
        <v>5</v>
      </c>
      <c r="AF13">
        <v>20260714</v>
      </c>
      <c r="AG13" t="e" cm="1">
        <f t="array" ref="AG13">[4]!MARGIN</f>
        <v>#N/A</v>
      </c>
      <c r="AH13" t="e" cm="1">
        <f t="array" ref="AH13">[4]!FEE</f>
        <v>#N/A</v>
      </c>
      <c r="AI13" t="s">
        <v>210</v>
      </c>
      <c r="AJ13" cm="1">
        <f t="array" ref="AJ13">[4]!IMPLYBIDVOLUME1</f>
        <v>0</v>
      </c>
      <c r="AK13" t="e" cm="1">
        <f t="array" ref="AK13">[4]!IMPLYBIDPRICE1</f>
        <v>#N/A</v>
      </c>
      <c r="AL13" t="e" cm="1">
        <f t="array" ref="AL13">[4]!IMPLYASKPRICE1</f>
        <v>#N/A</v>
      </c>
      <c r="AM13" cm="1">
        <f t="array" ref="AM13">[4]!IMPLYASKVOLUME1</f>
        <v>0</v>
      </c>
      <c r="AN13" cm="1">
        <f t="array" ref="AN13">[4]!VOLUMEBIDLOT</f>
        <v>0</v>
      </c>
      <c r="AO13" cm="1">
        <f t="array" ref="AO13">[4]!VOLUMEASKLOT</f>
        <v>0</v>
      </c>
    </row>
    <row r="14" spans="1:41" x14ac:dyDescent="0.25">
      <c r="A14" t="s">
        <v>49</v>
      </c>
      <c r="B14" t="s">
        <v>226</v>
      </c>
      <c r="C14" cm="1">
        <f t="array" ref="C14">[5]!NETVOLUME3862909776</f>
        <v>0</v>
      </c>
      <c r="D14" cm="1">
        <f t="array" ref="D14">[5]!LONGPOSITION3862909776</f>
        <v>0</v>
      </c>
      <c r="E14" cm="1">
        <f t="array" ref="E14">[5]!SHORTPOSITION3862909776</f>
        <v>0</v>
      </c>
      <c r="F14" cm="1">
        <f t="array" ref="F14">[5]!MTMPL3862909776</f>
        <v>0</v>
      </c>
      <c r="G14" cm="1">
        <f t="array" ref="G14">[5]!LASTPRICE</f>
        <v>1035</v>
      </c>
      <c r="H14" cm="1">
        <f t="array" ref="H14">[5]!NETCHANGE</f>
        <v>12</v>
      </c>
      <c r="I14" t="str" cm="1">
        <f t="array" ref="I14">[5]!NETCHANGERATE</f>
        <v>+1.17%</v>
      </c>
      <c r="J14" cm="1">
        <f t="array" ref="J14">[5]!BIDVOLUME1</f>
        <v>5066</v>
      </c>
      <c r="K14" cm="1">
        <f t="array" ref="K14">[5]!BIDPRICE1</f>
        <v>1035</v>
      </c>
      <c r="L14" cm="1">
        <f t="array" ref="L14">[5]!ASKPRICE1</f>
        <v>1036</v>
      </c>
      <c r="M14" cm="1">
        <f t="array" ref="M14">[5]!ASKVOLUME1</f>
        <v>1264</v>
      </c>
      <c r="N14" cm="1">
        <f t="array" ref="N14">[5]!OPENPRICE</f>
        <v>1023</v>
      </c>
      <c r="O14" cm="1">
        <f t="array" ref="O14">[5]!HIGH</f>
        <v>1057</v>
      </c>
      <c r="P14" cm="1">
        <f t="array" ref="P14">[5]!LOW</f>
        <v>1015</v>
      </c>
      <c r="Q14" cm="1">
        <f t="array" ref="Q14">[5]!TRADEVOLUME</f>
        <v>778420</v>
      </c>
      <c r="R14" cm="1">
        <f t="array" ref="R14">[5]!POSIVOL</f>
        <v>1480363</v>
      </c>
      <c r="S14" cm="1">
        <f t="array" ref="S14">[5]!POSIVOLCHANGE</f>
        <v>0</v>
      </c>
      <c r="T14" cm="1">
        <f t="array" ref="T14">[5]!POSIVOLCHANGEDAILY</f>
        <v>-52652</v>
      </c>
      <c r="U14" t="str" cm="1">
        <f t="array" ref="U14">[5]!INST_STATE</f>
        <v>连续交易</v>
      </c>
      <c r="V14" t="str" cm="1">
        <f t="array" ref="V14">[5]!UPDATETIME</f>
        <v>09:51:32.000</v>
      </c>
      <c r="W14" cm="1">
        <f t="array" ref="W14">[5]!UPPERLIMITPRICE</f>
        <v>1116</v>
      </c>
      <c r="X14" cm="1">
        <f t="array" ref="X14">[5]!LOWERLIMITPRICE</f>
        <v>930</v>
      </c>
      <c r="Y14" t="e" cm="1">
        <f t="array" ref="Y14">[5]!CLOSEPRICE</f>
        <v>#N/A</v>
      </c>
      <c r="Z14" cm="1">
        <f t="array" ref="Z14">[5]!SETTLEPRICE</f>
        <v>1019</v>
      </c>
      <c r="AA14" cm="1">
        <f t="array" ref="AA14">[5]!PRECLOSE</f>
        <v>1020</v>
      </c>
      <c r="AB14" cm="1">
        <f t="array" ref="AB14">[5]!PRESETTLEPRICE</f>
        <v>1023</v>
      </c>
      <c r="AC14" t="s">
        <v>41</v>
      </c>
      <c r="AD14" t="s">
        <v>50</v>
      </c>
      <c r="AE14">
        <v>20</v>
      </c>
      <c r="AF14">
        <v>20260914</v>
      </c>
      <c r="AG14" t="e" cm="1">
        <f t="array" ref="AG14">[5]!MARGIN</f>
        <v>#N/A</v>
      </c>
      <c r="AH14" t="e" cm="1">
        <f t="array" ref="AH14">[5]!FEE</f>
        <v>#N/A</v>
      </c>
      <c r="AI14" t="s">
        <v>210</v>
      </c>
      <c r="AJ14" cm="1">
        <f t="array" ref="AJ14">[5]!IMPLYBIDVOLUME1</f>
        <v>0</v>
      </c>
      <c r="AK14" t="e" cm="1">
        <f t="array" ref="AK14">[5]!IMPLYBIDPRICE1</f>
        <v>#N/A</v>
      </c>
      <c r="AL14" t="e" cm="1">
        <f t="array" ref="AL14">[5]!IMPLYASKPRICE1</f>
        <v>#N/A</v>
      </c>
      <c r="AM14" cm="1">
        <f t="array" ref="AM14">[5]!IMPLYASKVOLUME1</f>
        <v>0</v>
      </c>
      <c r="AN14" cm="1">
        <f t="array" ref="AN14">[5]!VOLUMEBIDLOT</f>
        <v>0</v>
      </c>
      <c r="AO14" cm="1">
        <f t="array" ref="AO14">[5]!VOLUMEASKLOT</f>
        <v>0</v>
      </c>
    </row>
    <row r="15" spans="1:41" x14ac:dyDescent="0.25">
      <c r="A15" t="s">
        <v>60</v>
      </c>
      <c r="B15" t="s">
        <v>227</v>
      </c>
      <c r="C15" cm="1">
        <f t="array" ref="C15">[10]!NETVOLUME3862909776</f>
        <v>0</v>
      </c>
      <c r="D15" cm="1">
        <f t="array" ref="D15">[10]!LONGPOSITION3862909776</f>
        <v>0</v>
      </c>
      <c r="E15" cm="1">
        <f t="array" ref="E15">[10]!SHORTPOSITION3862909776</f>
        <v>0</v>
      </c>
      <c r="F15" cm="1">
        <f t="array" ref="F15">[10]!MTMPL3862909776</f>
        <v>0</v>
      </c>
      <c r="G15" cm="1">
        <f t="array" ref="G15">[10]!LASTPRICE</f>
        <v>2662</v>
      </c>
      <c r="H15" t="e" cm="1">
        <f t="array" ref="H15">[10]!NETCHANGE</f>
        <v>#N/A</v>
      </c>
      <c r="I15" t="e" cm="1">
        <f t="array" ref="I15">[10]!NETCHANGERATE</f>
        <v>#N/A</v>
      </c>
      <c r="J15" cm="1">
        <f t="array" ref="J15">[10]!BIDVOLUME1</f>
        <v>0</v>
      </c>
      <c r="K15" t="e" cm="1">
        <f t="array" ref="K15">[10]!BIDPRICE1</f>
        <v>#N/A</v>
      </c>
      <c r="L15" t="e" cm="1">
        <f t="array" ref="L15">[10]!ASKPRICE1</f>
        <v>#N/A</v>
      </c>
      <c r="M15" cm="1">
        <f t="array" ref="M15">[10]!ASKVOLUME1</f>
        <v>0</v>
      </c>
      <c r="N15" t="e" cm="1">
        <f t="array" ref="N15">[10]!OPENPRICE</f>
        <v>#N/A</v>
      </c>
      <c r="O15" t="e" cm="1">
        <f t="array" ref="O15">[10]!HIGH</f>
        <v>#N/A</v>
      </c>
      <c r="P15" t="e" cm="1">
        <f t="array" ref="P15">[10]!LOW</f>
        <v>#N/A</v>
      </c>
      <c r="Q15" cm="1">
        <f t="array" ref="Q15">[10]!TRADEVOLUME</f>
        <v>0</v>
      </c>
      <c r="R15" cm="1">
        <f t="array" ref="R15">[10]!POSIVOL</f>
        <v>0</v>
      </c>
      <c r="S15" t="e" cm="1">
        <f t="array" ref="S15">[10]!POSIVOLCHANGE</f>
        <v>#N/A</v>
      </c>
      <c r="T15" cm="1">
        <f t="array" ref="T15">[10]!POSIVOLCHANGEDAILY</f>
        <v>0</v>
      </c>
      <c r="U15" t="e" cm="1">
        <f t="array" ref="U15">[10]!INST_STATE</f>
        <v>#N/A</v>
      </c>
      <c r="V15" t="str" cm="1">
        <f t="array" ref="V15">[10]!UPDATETIME</f>
        <v>19:05:50.000</v>
      </c>
      <c r="W15" t="e" cm="1">
        <f t="array" ref="W15">[10]!UPPERLIMITPRICE</f>
        <v>#N/A</v>
      </c>
      <c r="X15" t="e" cm="1">
        <f t="array" ref="X15">[10]!LOWERLIMITPRICE</f>
        <v>#N/A</v>
      </c>
      <c r="Y15" t="e" cm="1">
        <f t="array" ref="Y15">[10]!CLOSEPRICE</f>
        <v>#N/A</v>
      </c>
      <c r="Z15" t="e" cm="1">
        <f t="array" ref="Z15">[10]!SETTLEPRICE</f>
        <v>#N/A</v>
      </c>
      <c r="AA15" cm="1">
        <f t="array" ref="AA15">[10]!PRECLOSE</f>
        <v>2662</v>
      </c>
      <c r="AB15" cm="1">
        <f t="array" ref="AB15">[10]!PRESETTLEPRICE</f>
        <v>2662</v>
      </c>
      <c r="AC15" t="s">
        <v>41</v>
      </c>
      <c r="AD15" t="s">
        <v>61</v>
      </c>
      <c r="AE15">
        <v>20</v>
      </c>
      <c r="AF15">
        <v>20270514</v>
      </c>
      <c r="AG15" t="e" cm="1">
        <f t="array" ref="AG15">[10]!MARGIN</f>
        <v>#N/A</v>
      </c>
      <c r="AH15" t="e" cm="1">
        <f t="array" ref="AH15">[10]!FEE</f>
        <v>#N/A</v>
      </c>
      <c r="AI15" t="s">
        <v>210</v>
      </c>
      <c r="AJ15" cm="1">
        <f t="array" ref="AJ15">[10]!IMPLYBIDVOLUME1</f>
        <v>0</v>
      </c>
      <c r="AK15" t="e" cm="1">
        <f t="array" ref="AK15">[10]!IMPLYBIDPRICE1</f>
        <v>#N/A</v>
      </c>
      <c r="AL15" t="e" cm="1">
        <f t="array" ref="AL15">[10]!IMPLYASKPRICE1</f>
        <v>#N/A</v>
      </c>
      <c r="AM15" cm="1">
        <f t="array" ref="AM15">[10]!IMPLYASKVOLUME1</f>
        <v>0</v>
      </c>
      <c r="AN15" cm="1">
        <f t="array" ref="AN15">[10]!VOLUMEBIDLOT</f>
        <v>0</v>
      </c>
      <c r="AO15" cm="1">
        <f t="array" ref="AO15">[10]!VOLUMEASKLOT</f>
        <v>0</v>
      </c>
    </row>
    <row r="16" spans="1:41" x14ac:dyDescent="0.25">
      <c r="A16" t="s">
        <v>62</v>
      </c>
      <c r="B16" t="s">
        <v>228</v>
      </c>
      <c r="C16" cm="1">
        <f t="array" ref="C16">[11]!NETVOLUME3862909776</f>
        <v>0</v>
      </c>
      <c r="D16" cm="1">
        <f t="array" ref="D16">[11]!LONGPOSITION3862909776</f>
        <v>0</v>
      </c>
      <c r="E16" cm="1">
        <f t="array" ref="E16">[11]!SHORTPOSITION3862909776</f>
        <v>0</v>
      </c>
      <c r="F16" cm="1">
        <f t="array" ref="F16">[11]!MTMPL3862909776</f>
        <v>0</v>
      </c>
      <c r="G16" cm="1">
        <f t="array" ref="G16">[11]!LASTPRICE</f>
        <v>2922</v>
      </c>
      <c r="H16" cm="1">
        <f t="array" ref="H16">[11]!NETCHANGE</f>
        <v>-15</v>
      </c>
      <c r="I16" t="str" cm="1">
        <f t="array" ref="I16">[11]!NETCHANGERATE</f>
        <v>-0.51%</v>
      </c>
      <c r="J16" cm="1">
        <f t="array" ref="J16">[11]!BIDVOLUME1</f>
        <v>167</v>
      </c>
      <c r="K16" cm="1">
        <f t="array" ref="K16">[11]!BIDPRICE1</f>
        <v>2921</v>
      </c>
      <c r="L16" cm="1">
        <f t="array" ref="L16">[11]!ASKPRICE1</f>
        <v>2922</v>
      </c>
      <c r="M16" cm="1">
        <f t="array" ref="M16">[11]!ASKVOLUME1</f>
        <v>66</v>
      </c>
      <c r="N16" cm="1">
        <f t="array" ref="N16">[11]!OPENPRICE</f>
        <v>2910</v>
      </c>
      <c r="O16" cm="1">
        <f t="array" ref="O16">[11]!HIGH</f>
        <v>2965</v>
      </c>
      <c r="P16" cm="1">
        <f t="array" ref="P16">[11]!LOW</f>
        <v>2907</v>
      </c>
      <c r="Q16" cm="1">
        <f t="array" ref="Q16">[11]!TRADEVOLUME</f>
        <v>614782</v>
      </c>
      <c r="R16" cm="1">
        <f t="array" ref="R16">[11]!POSIVOL</f>
        <v>720867</v>
      </c>
      <c r="S16" cm="1">
        <f t="array" ref="S16">[11]!POSIVOLCHANGE</f>
        <v>0</v>
      </c>
      <c r="T16" cm="1">
        <f t="array" ref="T16">[11]!POSIVOLCHANGEDAILY</f>
        <v>29986</v>
      </c>
      <c r="U16" t="str" cm="1">
        <f t="array" ref="U16">[11]!INST_STATE</f>
        <v>连续交易</v>
      </c>
      <c r="V16" t="str" cm="1">
        <f t="array" ref="V16">[11]!UPDATETIME</f>
        <v>09:51:31.000</v>
      </c>
      <c r="W16" cm="1">
        <f t="array" ref="W16">[11]!UPPERLIMITPRICE</f>
        <v>3261</v>
      </c>
      <c r="X16" cm="1">
        <f t="array" ref="X16">[11]!LOWERLIMITPRICE</f>
        <v>2613</v>
      </c>
      <c r="Y16" t="e" cm="1">
        <f t="array" ref="Y16">[11]!CLOSEPRICE</f>
        <v>#N/A</v>
      </c>
      <c r="Z16" cm="1">
        <f t="array" ref="Z16">[11]!SETTLEPRICE</f>
        <v>2939</v>
      </c>
      <c r="AA16" cm="1">
        <f t="array" ref="AA16">[11]!PRECLOSE</f>
        <v>2927</v>
      </c>
      <c r="AB16" cm="1">
        <f t="array" ref="AB16">[11]!PRESETTLEPRICE</f>
        <v>2937</v>
      </c>
      <c r="AC16" t="s">
        <v>41</v>
      </c>
      <c r="AD16" t="s">
        <v>63</v>
      </c>
      <c r="AE16">
        <v>10</v>
      </c>
      <c r="AF16">
        <v>20260914</v>
      </c>
      <c r="AG16" t="e" cm="1">
        <f t="array" ref="AG16">[11]!MARGIN</f>
        <v>#N/A</v>
      </c>
      <c r="AH16" t="e" cm="1">
        <f t="array" ref="AH16">[11]!FEE</f>
        <v>#N/A</v>
      </c>
      <c r="AI16" t="s">
        <v>210</v>
      </c>
      <c r="AJ16" cm="1">
        <f t="array" ref="AJ16">[11]!IMPLYBIDVOLUME1</f>
        <v>0</v>
      </c>
      <c r="AK16" t="e" cm="1">
        <f t="array" ref="AK16">[11]!IMPLYBIDPRICE1</f>
        <v>#N/A</v>
      </c>
      <c r="AL16" t="e" cm="1">
        <f t="array" ref="AL16">[11]!IMPLYASKPRICE1</f>
        <v>#N/A</v>
      </c>
      <c r="AM16" cm="1">
        <f t="array" ref="AM16">[11]!IMPLYASKVOLUME1</f>
        <v>0</v>
      </c>
      <c r="AN16" cm="1">
        <f t="array" ref="AN16">[11]!VOLUMEBIDLOT</f>
        <v>0</v>
      </c>
      <c r="AO16" cm="1">
        <f t="array" ref="AO16">[11]!VOLUMEASKLOT</f>
        <v>0</v>
      </c>
    </row>
    <row r="17" spans="1:41" x14ac:dyDescent="0.25">
      <c r="A17" t="s">
        <v>64</v>
      </c>
      <c r="B17" t="s">
        <v>229</v>
      </c>
      <c r="C17" cm="1">
        <f t="array" ref="C17">[12]!NETVOLUME3862909776</f>
        <v>0</v>
      </c>
      <c r="D17" cm="1">
        <f t="array" ref="D17">[12]!LONGPOSITION3862909776</f>
        <v>0</v>
      </c>
      <c r="E17" cm="1">
        <f t="array" ref="E17">[12]!SHORTPOSITION3862909776</f>
        <v>0</v>
      </c>
      <c r="F17" cm="1">
        <f t="array" ref="F17">[12]!MTMPL3862909776</f>
        <v>0</v>
      </c>
      <c r="G17" cm="1">
        <f t="array" ref="G17">[12]!LASTPRICE</f>
        <v>9675</v>
      </c>
      <c r="H17" cm="1">
        <f t="array" ref="H17">[12]!NETCHANGE</f>
        <v>-12</v>
      </c>
      <c r="I17" t="str" cm="1">
        <f t="array" ref="I17">[12]!NETCHANGERATE</f>
        <v>-0.12%</v>
      </c>
      <c r="J17" cm="1">
        <f t="array" ref="J17">[12]!BIDVOLUME1</f>
        <v>26</v>
      </c>
      <c r="K17" cm="1">
        <f t="array" ref="K17">[12]!BIDPRICE1</f>
        <v>9674</v>
      </c>
      <c r="L17" cm="1">
        <f t="array" ref="L17">[12]!ASKPRICE1</f>
        <v>9675</v>
      </c>
      <c r="M17" cm="1">
        <f t="array" ref="M17">[12]!ASKVOLUME1</f>
        <v>8</v>
      </c>
      <c r="N17" cm="1">
        <f t="array" ref="N17">[12]!OPENPRICE</f>
        <v>9621</v>
      </c>
      <c r="O17" cm="1">
        <f t="array" ref="O17">[12]!HIGH</f>
        <v>9683</v>
      </c>
      <c r="P17" cm="1">
        <f t="array" ref="P17">[12]!LOW</f>
        <v>9594</v>
      </c>
      <c r="Q17" cm="1">
        <f t="array" ref="Q17">[12]!TRADEVOLUME</f>
        <v>102530</v>
      </c>
      <c r="R17" cm="1">
        <f t="array" ref="R17">[12]!POSIVOL</f>
        <v>234781</v>
      </c>
      <c r="S17" cm="1">
        <f t="array" ref="S17">[12]!POSIVOLCHANGE</f>
        <v>0</v>
      </c>
      <c r="T17" cm="1">
        <f t="array" ref="T17">[12]!POSIVOLCHANGEDAILY</f>
        <v>-2870</v>
      </c>
      <c r="U17" t="str" cm="1">
        <f t="array" ref="U17">[12]!INST_STATE</f>
        <v>连续交易</v>
      </c>
      <c r="V17" t="str" cm="1">
        <f t="array" ref="V17">[12]!UPDATETIME</f>
        <v>09:51:31.000</v>
      </c>
      <c r="W17" cm="1">
        <f t="array" ref="W17">[12]!UPPERLIMITPRICE</f>
        <v>10269</v>
      </c>
      <c r="X17" cm="1">
        <f t="array" ref="X17">[12]!LOWERLIMITPRICE</f>
        <v>9105</v>
      </c>
      <c r="Y17" t="e" cm="1">
        <f t="array" ref="Y17">[12]!CLOSEPRICE</f>
        <v>#N/A</v>
      </c>
      <c r="Z17" cm="1">
        <f t="array" ref="Z17">[12]!SETTLEPRICE</f>
        <v>9659</v>
      </c>
      <c r="AA17" cm="1">
        <f t="array" ref="AA17">[12]!PRECLOSE</f>
        <v>9625</v>
      </c>
      <c r="AB17" cm="1">
        <f t="array" ref="AB17">[12]!PRESETTLEPRICE</f>
        <v>9687</v>
      </c>
      <c r="AC17" t="s">
        <v>41</v>
      </c>
      <c r="AD17" t="s">
        <v>65</v>
      </c>
      <c r="AE17">
        <v>10</v>
      </c>
      <c r="AF17">
        <v>20260914</v>
      </c>
      <c r="AG17" t="e" cm="1">
        <f t="array" ref="AG17">[12]!MARGIN</f>
        <v>#N/A</v>
      </c>
      <c r="AH17" t="e" cm="1">
        <f t="array" ref="AH17">[12]!FEE</f>
        <v>#N/A</v>
      </c>
      <c r="AI17" t="s">
        <v>210</v>
      </c>
      <c r="AJ17" cm="1">
        <f t="array" ref="AJ17">[12]!IMPLYBIDVOLUME1</f>
        <v>0</v>
      </c>
      <c r="AK17" t="e" cm="1">
        <f t="array" ref="AK17">[12]!IMPLYBIDPRICE1</f>
        <v>#N/A</v>
      </c>
      <c r="AL17" t="e" cm="1">
        <f t="array" ref="AL17">[12]!IMPLYASKPRICE1</f>
        <v>#N/A</v>
      </c>
      <c r="AM17" cm="1">
        <f t="array" ref="AM17">[12]!IMPLYASKVOLUME1</f>
        <v>0</v>
      </c>
      <c r="AN17" cm="1">
        <f t="array" ref="AN17">[12]!VOLUMEBIDLOT</f>
        <v>0</v>
      </c>
      <c r="AO17" cm="1">
        <f t="array" ref="AO17">[12]!VOLUMEASKLOT</f>
        <v>0</v>
      </c>
    </row>
    <row r="18" spans="1:41" x14ac:dyDescent="0.25">
      <c r="A18" t="s">
        <v>66</v>
      </c>
      <c r="B18" t="s">
        <v>230</v>
      </c>
      <c r="C18" cm="1">
        <f t="array" ref="C18">[13]!NETVOLUME3862909776</f>
        <v>0</v>
      </c>
      <c r="D18" cm="1">
        <f t="array" ref="D18">[13]!LONGPOSITION3862909776</f>
        <v>0</v>
      </c>
      <c r="E18" cm="1">
        <f t="array" ref="E18">[13]!SHORTPOSITION3862909776</f>
        <v>0</v>
      </c>
      <c r="F18" cm="1">
        <f t="array" ref="F18">[13]!MTMPL3862909776</f>
        <v>0</v>
      </c>
      <c r="G18" cm="1">
        <f t="array" ref="G18">[13]!LASTPRICE</f>
        <v>7602</v>
      </c>
      <c r="H18" cm="1">
        <f t="array" ref="H18">[13]!NETCHANGE</f>
        <v>-208</v>
      </c>
      <c r="I18" t="str" cm="1">
        <f t="array" ref="I18">[13]!NETCHANGERATE</f>
        <v>-2.66%</v>
      </c>
      <c r="J18" cm="1">
        <f t="array" ref="J18">[13]!BIDVOLUME1</f>
        <v>12</v>
      </c>
      <c r="K18" cm="1">
        <f t="array" ref="K18">[13]!BIDPRICE1</f>
        <v>7602</v>
      </c>
      <c r="L18" cm="1">
        <f t="array" ref="L18">[13]!ASKPRICE1</f>
        <v>7604</v>
      </c>
      <c r="M18" cm="1">
        <f t="array" ref="M18">[13]!ASKVOLUME1</f>
        <v>116</v>
      </c>
      <c r="N18" cm="1">
        <f t="array" ref="N18">[13]!OPENPRICE</f>
        <v>7706</v>
      </c>
      <c r="O18" cm="1">
        <f t="array" ref="O18">[13]!HIGH</f>
        <v>7730</v>
      </c>
      <c r="P18" cm="1">
        <f t="array" ref="P18">[13]!LOW</f>
        <v>7572</v>
      </c>
      <c r="Q18" cm="1">
        <f t="array" ref="Q18">[13]!TRADEVOLUME</f>
        <v>135277</v>
      </c>
      <c r="R18" cm="1">
        <f t="array" ref="R18">[13]!POSIVOL</f>
        <v>153987</v>
      </c>
      <c r="S18" cm="1">
        <f t="array" ref="S18">[13]!POSIVOLCHANGE</f>
        <v>0</v>
      </c>
      <c r="T18" cm="1">
        <f t="array" ref="T18">[13]!POSIVOLCHANGEDAILY</f>
        <v>-6245</v>
      </c>
      <c r="U18" t="str" cm="1">
        <f t="array" ref="U18">[13]!INST_STATE</f>
        <v>连续交易</v>
      </c>
      <c r="V18" t="str" cm="1">
        <f t="array" ref="V18">[13]!UPDATETIME</f>
        <v>09:51:31.000</v>
      </c>
      <c r="W18" cm="1">
        <f t="array" ref="W18">[13]!UPPERLIMITPRICE</f>
        <v>8670</v>
      </c>
      <c r="X18" cm="1">
        <f t="array" ref="X18">[13]!LOWERLIMITPRICE</f>
        <v>6950</v>
      </c>
      <c r="Y18" t="e" cm="1">
        <f t="array" ref="Y18">[13]!CLOSEPRICE</f>
        <v>#N/A</v>
      </c>
      <c r="Z18" cm="1">
        <f t="array" ref="Z18">[13]!SETTLEPRICE</f>
        <v>7686</v>
      </c>
      <c r="AA18" cm="1">
        <f t="array" ref="AA18">[13]!PRECLOSE</f>
        <v>7710</v>
      </c>
      <c r="AB18" cm="1">
        <f t="array" ref="AB18">[13]!PRESETTLEPRICE</f>
        <v>7810</v>
      </c>
      <c r="AC18" t="s">
        <v>41</v>
      </c>
      <c r="AD18" t="s">
        <v>67</v>
      </c>
      <c r="AE18">
        <v>5</v>
      </c>
      <c r="AF18">
        <v>20260714</v>
      </c>
      <c r="AG18" t="e" cm="1">
        <f t="array" ref="AG18">[13]!MARGIN</f>
        <v>#N/A</v>
      </c>
      <c r="AH18" t="e" cm="1">
        <f t="array" ref="AH18">[13]!FEE</f>
        <v>#N/A</v>
      </c>
      <c r="AI18" t="s">
        <v>210</v>
      </c>
      <c r="AJ18" cm="1">
        <f t="array" ref="AJ18">[13]!IMPLYBIDVOLUME1</f>
        <v>0</v>
      </c>
      <c r="AK18" t="e" cm="1">
        <f t="array" ref="AK18">[13]!IMPLYBIDPRICE1</f>
        <v>#N/A</v>
      </c>
      <c r="AL18" t="e" cm="1">
        <f t="array" ref="AL18">[13]!IMPLYASKPRICE1</f>
        <v>#N/A</v>
      </c>
      <c r="AM18" cm="1">
        <f t="array" ref="AM18">[13]!IMPLYASKVOLUME1</f>
        <v>0</v>
      </c>
      <c r="AN18" cm="1">
        <f t="array" ref="AN18">[13]!VOLUMEBIDLOT</f>
        <v>0</v>
      </c>
      <c r="AO18" cm="1">
        <f t="array" ref="AO18">[13]!VOLUMEASKLOT</f>
        <v>0</v>
      </c>
    </row>
    <row r="19" spans="1:41" x14ac:dyDescent="0.25">
      <c r="A19" t="s">
        <v>68</v>
      </c>
      <c r="B19" t="s">
        <v>231</v>
      </c>
      <c r="C19" cm="1">
        <f t="array" ref="C19">[14]!NETVOLUME3862909776</f>
        <v>0</v>
      </c>
      <c r="D19" cm="1">
        <f t="array" ref="D19">[14]!LONGPOSITION3862909776</f>
        <v>0</v>
      </c>
      <c r="E19" cm="1">
        <f t="array" ref="E19">[14]!SHORTPOSITION3862909776</f>
        <v>0</v>
      </c>
      <c r="F19" cm="1">
        <f t="array" ref="F19">[14]!MTMPL3862909776</f>
        <v>0</v>
      </c>
      <c r="G19" cm="1">
        <f t="array" ref="G19">[14]!LASTPRICE</f>
        <v>8158</v>
      </c>
      <c r="H19" cm="1">
        <f t="array" ref="H19">[14]!NETCHANGE</f>
        <v>12</v>
      </c>
      <c r="I19" t="str" cm="1">
        <f t="array" ref="I19">[14]!NETCHANGERATE</f>
        <v>+0.15%</v>
      </c>
      <c r="J19" cm="1">
        <f t="array" ref="J19">[14]!BIDVOLUME1</f>
        <v>212</v>
      </c>
      <c r="K19" cm="1">
        <f t="array" ref="K19">[14]!BIDPRICE1</f>
        <v>8156</v>
      </c>
      <c r="L19" cm="1">
        <f t="array" ref="L19">[14]!ASKPRICE1</f>
        <v>8158</v>
      </c>
      <c r="M19" cm="1">
        <f t="array" ref="M19">[14]!ASKVOLUME1</f>
        <v>50</v>
      </c>
      <c r="N19" cm="1">
        <f t="array" ref="N19">[14]!OPENPRICE</f>
        <v>8132</v>
      </c>
      <c r="O19" cm="1">
        <f t="array" ref="O19">[14]!HIGH</f>
        <v>8164</v>
      </c>
      <c r="P19" cm="1">
        <f t="array" ref="P19">[14]!LOW</f>
        <v>8100</v>
      </c>
      <c r="Q19" cm="1">
        <f t="array" ref="Q19">[14]!TRADEVOLUME</f>
        <v>35586</v>
      </c>
      <c r="R19" cm="1">
        <f t="array" ref="R19">[14]!POSIVOL</f>
        <v>276058</v>
      </c>
      <c r="S19" cm="1">
        <f t="array" ref="S19">[14]!POSIVOLCHANGE</f>
        <v>0</v>
      </c>
      <c r="T19" cm="1">
        <f t="array" ref="T19">[14]!POSIVOLCHANGEDAILY</f>
        <v>4884</v>
      </c>
      <c r="U19" t="str" cm="1">
        <f t="array" ref="U19">[14]!INST_STATE</f>
        <v>连续交易</v>
      </c>
      <c r="V19" t="str" cm="1">
        <f t="array" ref="V19">[14]!UPDATETIME</f>
        <v>09:51:31.000</v>
      </c>
      <c r="W19" cm="1">
        <f t="array" ref="W19">[14]!UPPERLIMITPRICE</f>
        <v>8636</v>
      </c>
      <c r="X19" cm="1">
        <f t="array" ref="X19">[14]!LOWERLIMITPRICE</f>
        <v>7656</v>
      </c>
      <c r="Y19" t="e" cm="1">
        <f t="array" ref="Y19">[14]!CLOSEPRICE</f>
        <v>#N/A</v>
      </c>
      <c r="Z19" t="e" cm="1">
        <f t="array" ref="Z19">[14]!SETTLEPRICE</f>
        <v>#N/A</v>
      </c>
      <c r="AA19" cm="1">
        <f t="array" ref="AA19">[14]!PRECLOSE</f>
        <v>8140</v>
      </c>
      <c r="AB19" cm="1">
        <f t="array" ref="AB19">[14]!PRESETTLEPRICE</f>
        <v>8146</v>
      </c>
      <c r="AC19" t="s">
        <v>41</v>
      </c>
      <c r="AD19" t="s">
        <v>69</v>
      </c>
      <c r="AE19">
        <v>5</v>
      </c>
      <c r="AF19">
        <v>20261021</v>
      </c>
      <c r="AG19" t="e" cm="1">
        <f t="array" ref="AG19">[14]!MARGIN</f>
        <v>#N/A</v>
      </c>
      <c r="AH19" t="e" cm="1">
        <f t="array" ref="AH19">[14]!FEE</f>
        <v>#N/A</v>
      </c>
      <c r="AI19" t="s">
        <v>210</v>
      </c>
      <c r="AJ19" cm="1">
        <f t="array" ref="AJ19">[14]!IMPLYBIDVOLUME1</f>
        <v>0</v>
      </c>
      <c r="AK19" t="e" cm="1">
        <f t="array" ref="AK19">[14]!IMPLYBIDPRICE1</f>
        <v>#N/A</v>
      </c>
      <c r="AL19" t="e" cm="1">
        <f t="array" ref="AL19">[14]!IMPLYASKPRICE1</f>
        <v>#N/A</v>
      </c>
      <c r="AM19" cm="1">
        <f t="array" ref="AM19">[14]!IMPLYASKVOLUME1</f>
        <v>0</v>
      </c>
      <c r="AN19" cm="1">
        <f t="array" ref="AN19">[14]!VOLUMEBIDLOT</f>
        <v>0</v>
      </c>
      <c r="AO19" cm="1">
        <f t="array" ref="AO19">[14]!VOLUMEASKLOT</f>
        <v>0</v>
      </c>
    </row>
    <row r="20" spans="1:41" x14ac:dyDescent="0.25">
      <c r="A20" t="s">
        <v>70</v>
      </c>
      <c r="B20" t="s">
        <v>232</v>
      </c>
      <c r="C20" cm="1">
        <f t="array" ref="C20">[15]!NETVOLUME3862909776</f>
        <v>0</v>
      </c>
      <c r="D20" cm="1">
        <f t="array" ref="D20">[15]!LONGPOSITION3862909776</f>
        <v>0</v>
      </c>
      <c r="E20" cm="1">
        <f t="array" ref="E20">[15]!SHORTPOSITION3862909776</f>
        <v>0</v>
      </c>
      <c r="F20" cm="1">
        <f t="array" ref="F20">[15]!MTMPL3862909776</f>
        <v>0</v>
      </c>
      <c r="G20" cm="1">
        <f t="array" ref="G20">[15]!LASTPRICE</f>
        <v>8515</v>
      </c>
      <c r="H20" cm="1">
        <f t="array" ref="H20">[15]!NETCHANGE</f>
        <v>-94</v>
      </c>
      <c r="I20" t="str" cm="1">
        <f t="array" ref="I20">[15]!NETCHANGERATE</f>
        <v>-1.09%</v>
      </c>
      <c r="J20" cm="1">
        <f t="array" ref="J20">[15]!BIDVOLUME1</f>
        <v>4</v>
      </c>
      <c r="K20" cm="1">
        <f t="array" ref="K20">[15]!BIDPRICE1</f>
        <v>8513</v>
      </c>
      <c r="L20" cm="1">
        <f t="array" ref="L20">[15]!ASKPRICE1</f>
        <v>8517</v>
      </c>
      <c r="M20" cm="1">
        <f t="array" ref="M20">[15]!ASKVOLUME1</f>
        <v>4</v>
      </c>
      <c r="N20" cm="1">
        <f t="array" ref="N20">[15]!OPENPRICE</f>
        <v>8517</v>
      </c>
      <c r="O20" cm="1">
        <f t="array" ref="O20">[15]!HIGH</f>
        <v>8645</v>
      </c>
      <c r="P20" cm="1">
        <f t="array" ref="P20">[15]!LOW</f>
        <v>8495</v>
      </c>
      <c r="Q20" cm="1">
        <f t="array" ref="Q20">[15]!TRADEVOLUME</f>
        <v>8228</v>
      </c>
      <c r="R20" cm="1">
        <f t="array" ref="R20">[15]!POSIVOL</f>
        <v>12158</v>
      </c>
      <c r="S20" cm="1">
        <f t="array" ref="S20">[15]!POSIVOLCHANGE</f>
        <v>0</v>
      </c>
      <c r="T20" cm="1">
        <f t="array" ref="T20">[15]!POSIVOLCHANGEDAILY</f>
        <v>-1137</v>
      </c>
      <c r="U20" t="str" cm="1">
        <f t="array" ref="U20">[15]!INST_STATE</f>
        <v>连续交易</v>
      </c>
      <c r="V20" t="str" cm="1">
        <f t="array" ref="V20">[15]!UPDATETIME</f>
        <v>09:51:31.000</v>
      </c>
      <c r="W20" cm="1">
        <f t="array" ref="W20">[15]!UPPERLIMITPRICE</f>
        <v>9384</v>
      </c>
      <c r="X20" cm="1">
        <f t="array" ref="X20">[15]!LOWERLIMITPRICE</f>
        <v>7834</v>
      </c>
      <c r="Y20" t="e" cm="1">
        <f t="array" ref="Y20">[15]!CLOSEPRICE</f>
        <v>#N/A</v>
      </c>
      <c r="Z20" cm="1">
        <f t="array" ref="Z20">[15]!SETTLEPRICE</f>
        <v>8588</v>
      </c>
      <c r="AA20" cm="1">
        <f t="array" ref="AA20">[15]!PRECLOSE</f>
        <v>8579</v>
      </c>
      <c r="AB20" cm="1">
        <f t="array" ref="AB20">[15]!PRESETTLEPRICE</f>
        <v>8609</v>
      </c>
      <c r="AC20" t="s">
        <v>41</v>
      </c>
      <c r="AD20" t="s">
        <v>71</v>
      </c>
      <c r="AE20">
        <v>20</v>
      </c>
      <c r="AF20">
        <v>20260714</v>
      </c>
      <c r="AG20" t="e" cm="1">
        <f t="array" ref="AG20">[15]!MARGIN</f>
        <v>#N/A</v>
      </c>
      <c r="AH20" t="e" cm="1">
        <f t="array" ref="AH20">[15]!FEE</f>
        <v>#N/A</v>
      </c>
      <c r="AI20" t="s">
        <v>210</v>
      </c>
      <c r="AJ20" cm="1">
        <f t="array" ref="AJ20">[15]!IMPLYBIDVOLUME1</f>
        <v>0</v>
      </c>
      <c r="AK20" t="e" cm="1">
        <f t="array" ref="AK20">[15]!IMPLYBIDPRICE1</f>
        <v>#N/A</v>
      </c>
      <c r="AL20" t="e" cm="1">
        <f t="array" ref="AL20">[15]!IMPLYASKPRICE1</f>
        <v>#N/A</v>
      </c>
      <c r="AM20" cm="1">
        <f t="array" ref="AM20">[15]!IMPLYASKVOLUME1</f>
        <v>0</v>
      </c>
      <c r="AN20" cm="1">
        <f t="array" ref="AN20">[15]!VOLUMEBIDLOT</f>
        <v>0</v>
      </c>
      <c r="AO20" cm="1">
        <f t="array" ref="AO20">[15]!VOLUMEASKLOT</f>
        <v>0</v>
      </c>
    </row>
    <row r="21" spans="1:41" x14ac:dyDescent="0.25">
      <c r="A21" t="s">
        <v>72</v>
      </c>
      <c r="B21" t="s">
        <v>233</v>
      </c>
      <c r="C21" cm="1">
        <f t="array" ref="C21">[16]!NETVOLUME3862909776</f>
        <v>0</v>
      </c>
      <c r="D21" cm="1">
        <f t="array" ref="D21">[16]!LONGPOSITION3862909776</f>
        <v>0</v>
      </c>
      <c r="E21" cm="1">
        <f t="array" ref="E21">[16]!SHORTPOSITION3862909776</f>
        <v>0</v>
      </c>
      <c r="F21" cm="1">
        <f t="array" ref="F21">[16]!MTMPL3862909776</f>
        <v>0</v>
      </c>
      <c r="G21" cm="1">
        <f t="array" ref="G21">[16]!LASTPRICE</f>
        <v>3122</v>
      </c>
      <c r="H21" t="e" cm="1">
        <f t="array" ref="H21">[16]!NETCHANGE</f>
        <v>#N/A</v>
      </c>
      <c r="I21" t="e" cm="1">
        <f t="array" ref="I21">[16]!NETCHANGERATE</f>
        <v>#N/A</v>
      </c>
      <c r="J21" cm="1">
        <f t="array" ref="J21">[16]!BIDVOLUME1</f>
        <v>0</v>
      </c>
      <c r="K21" t="e" cm="1">
        <f t="array" ref="K21">[16]!BIDPRICE1</f>
        <v>#N/A</v>
      </c>
      <c r="L21" t="e" cm="1">
        <f t="array" ref="L21">[16]!ASKPRICE1</f>
        <v>#N/A</v>
      </c>
      <c r="M21" cm="1">
        <f t="array" ref="M21">[16]!ASKVOLUME1</f>
        <v>0</v>
      </c>
      <c r="N21" t="e" cm="1">
        <f t="array" ref="N21">[16]!OPENPRICE</f>
        <v>#N/A</v>
      </c>
      <c r="O21" t="e" cm="1">
        <f t="array" ref="O21">[16]!HIGH</f>
        <v>#N/A</v>
      </c>
      <c r="P21" t="e" cm="1">
        <f t="array" ref="P21">[16]!LOW</f>
        <v>#N/A</v>
      </c>
      <c r="Q21" cm="1">
        <f t="array" ref="Q21">[16]!TRADEVOLUME</f>
        <v>0</v>
      </c>
      <c r="R21" cm="1">
        <f t="array" ref="R21">[16]!POSIVOL</f>
        <v>0</v>
      </c>
      <c r="S21" t="e" cm="1">
        <f t="array" ref="S21">[16]!POSIVOLCHANGE</f>
        <v>#N/A</v>
      </c>
      <c r="T21" cm="1">
        <f t="array" ref="T21">[16]!POSIVOLCHANGEDAILY</f>
        <v>0</v>
      </c>
      <c r="U21" t="e" cm="1">
        <f t="array" ref="U21">[16]!INST_STATE</f>
        <v>#N/A</v>
      </c>
      <c r="V21" t="str" cm="1">
        <f t="array" ref="V21">[16]!UPDATETIME</f>
        <v>19:05:50.000</v>
      </c>
      <c r="W21" t="e" cm="1">
        <f t="array" ref="W21">[16]!UPPERLIMITPRICE</f>
        <v>#N/A</v>
      </c>
      <c r="X21" t="e" cm="1">
        <f t="array" ref="X21">[16]!LOWERLIMITPRICE</f>
        <v>#N/A</v>
      </c>
      <c r="Y21" t="e" cm="1">
        <f t="array" ref="Y21">[16]!CLOSEPRICE</f>
        <v>#N/A</v>
      </c>
      <c r="Z21" t="e" cm="1">
        <f t="array" ref="Z21">[16]!SETTLEPRICE</f>
        <v>#N/A</v>
      </c>
      <c r="AA21" cm="1">
        <f t="array" ref="AA21">[16]!PRECLOSE</f>
        <v>3122</v>
      </c>
      <c r="AB21" cm="1">
        <f t="array" ref="AB21">[16]!PRESETTLEPRICE</f>
        <v>3122</v>
      </c>
      <c r="AC21" t="s">
        <v>41</v>
      </c>
      <c r="AD21" t="s">
        <v>73</v>
      </c>
      <c r="AE21">
        <v>50</v>
      </c>
      <c r="AF21">
        <v>20270514</v>
      </c>
      <c r="AG21" t="e" cm="1">
        <f t="array" ref="AG21">[16]!MARGIN</f>
        <v>#N/A</v>
      </c>
      <c r="AH21" t="e" cm="1">
        <f t="array" ref="AH21">[16]!FEE</f>
        <v>#N/A</v>
      </c>
      <c r="AI21" t="s">
        <v>210</v>
      </c>
      <c r="AJ21" cm="1">
        <f t="array" ref="AJ21">[16]!IMPLYBIDVOLUME1</f>
        <v>0</v>
      </c>
      <c r="AK21" t="e" cm="1">
        <f t="array" ref="AK21">[16]!IMPLYBIDPRICE1</f>
        <v>#N/A</v>
      </c>
      <c r="AL21" t="e" cm="1">
        <f t="array" ref="AL21">[16]!IMPLYASKPRICE1</f>
        <v>#N/A</v>
      </c>
      <c r="AM21" cm="1">
        <f t="array" ref="AM21">[16]!IMPLYASKVOLUME1</f>
        <v>0</v>
      </c>
      <c r="AN21" cm="1">
        <f t="array" ref="AN21">[16]!VOLUMEBIDLOT</f>
        <v>0</v>
      </c>
      <c r="AO21" cm="1">
        <f t="array" ref="AO21">[16]!VOLUMEASKLOT</f>
        <v>0</v>
      </c>
    </row>
    <row r="22" spans="1:41" x14ac:dyDescent="0.25">
      <c r="A22" t="s">
        <v>74</v>
      </c>
      <c r="B22" t="s">
        <v>234</v>
      </c>
      <c r="C22" cm="1">
        <f t="array" ref="C22">[17]!NETVOLUME3862909776</f>
        <v>0</v>
      </c>
      <c r="D22" cm="1">
        <f t="array" ref="D22">[17]!LONGPOSITION3862909776</f>
        <v>0</v>
      </c>
      <c r="E22" cm="1">
        <f t="array" ref="E22">[17]!SHORTPOSITION3862909776</f>
        <v>0</v>
      </c>
      <c r="F22" cm="1">
        <f t="array" ref="F22">[17]!MTMPL3862909776</f>
        <v>0</v>
      </c>
      <c r="G22" cm="1">
        <f t="array" ref="G22">[17]!LASTPRICE</f>
        <v>7738</v>
      </c>
      <c r="H22" cm="1">
        <f t="array" ref="H22">[17]!NETCHANGE</f>
        <v>-314</v>
      </c>
      <c r="I22" t="str" cm="1">
        <f t="array" ref="I22">[17]!NETCHANGERATE</f>
        <v>-3.90%</v>
      </c>
      <c r="J22" cm="1">
        <f t="array" ref="J22">[17]!BIDVOLUME1</f>
        <v>9</v>
      </c>
      <c r="K22" cm="1">
        <f t="array" ref="K22">[17]!BIDPRICE1</f>
        <v>7736</v>
      </c>
      <c r="L22" cm="1">
        <f t="array" ref="L22">[17]!ASKPRICE1</f>
        <v>7740</v>
      </c>
      <c r="M22" cm="1">
        <f t="array" ref="M22">[17]!ASKVOLUME1</f>
        <v>19</v>
      </c>
      <c r="N22" cm="1">
        <f t="array" ref="N22">[17]!OPENPRICE</f>
        <v>7886</v>
      </c>
      <c r="O22" cm="1">
        <f t="array" ref="O22">[17]!HIGH</f>
        <v>7930</v>
      </c>
      <c r="P22" cm="1">
        <f t="array" ref="P22">[17]!LOW</f>
        <v>7732</v>
      </c>
      <c r="Q22" cm="1">
        <f t="array" ref="Q22">[17]!TRADEVOLUME</f>
        <v>70423</v>
      </c>
      <c r="R22" cm="1">
        <f t="array" ref="R22">[17]!POSIVOL</f>
        <v>40825</v>
      </c>
      <c r="S22" cm="1">
        <f t="array" ref="S22">[17]!POSIVOLCHANGE</f>
        <v>0</v>
      </c>
      <c r="T22" cm="1">
        <f t="array" ref="T22">[17]!POSIVOLCHANGEDAILY</f>
        <v>-3244</v>
      </c>
      <c r="U22" t="str" cm="1">
        <f t="array" ref="U22">[17]!INST_STATE</f>
        <v>连续交易</v>
      </c>
      <c r="V22" t="str" cm="1">
        <f t="array" ref="V22">[17]!UPDATETIME</f>
        <v>09:51:32.000</v>
      </c>
      <c r="W22" cm="1">
        <f t="array" ref="W22">[17]!UPPERLIMITPRICE</f>
        <v>8938</v>
      </c>
      <c r="X22" cm="1">
        <f t="array" ref="X22">[17]!LOWERLIMITPRICE</f>
        <v>7166</v>
      </c>
      <c r="Y22" t="e" cm="1">
        <f t="array" ref="Y22">[17]!CLOSEPRICE</f>
        <v>#N/A</v>
      </c>
      <c r="Z22" cm="1">
        <f t="array" ref="Z22">[17]!SETTLEPRICE</f>
        <v>7872</v>
      </c>
      <c r="AA22" cm="1">
        <f t="array" ref="AA22">[17]!PRECLOSE</f>
        <v>7906</v>
      </c>
      <c r="AB22" cm="1">
        <f t="array" ref="AB22">[17]!PRESETTLEPRICE</f>
        <v>8052</v>
      </c>
      <c r="AC22" t="s">
        <v>41</v>
      </c>
      <c r="AD22" t="s">
        <v>75</v>
      </c>
      <c r="AE22">
        <v>15</v>
      </c>
      <c r="AF22">
        <v>20260714</v>
      </c>
      <c r="AG22" t="e" cm="1">
        <f t="array" ref="AG22">[17]!MARGIN</f>
        <v>#N/A</v>
      </c>
      <c r="AH22" t="e" cm="1">
        <f t="array" ref="AH22">[17]!FEE</f>
        <v>#N/A</v>
      </c>
      <c r="AI22" t="s">
        <v>210</v>
      </c>
      <c r="AJ22" cm="1">
        <f t="array" ref="AJ22">[17]!IMPLYBIDVOLUME1</f>
        <v>0</v>
      </c>
      <c r="AK22" t="e" cm="1">
        <f t="array" ref="AK22">[17]!IMPLYBIDPRICE1</f>
        <v>#N/A</v>
      </c>
      <c r="AL22" t="e" cm="1">
        <f t="array" ref="AL22">[17]!IMPLYASKPRICE1</f>
        <v>#N/A</v>
      </c>
      <c r="AM22" cm="1">
        <f t="array" ref="AM22">[17]!IMPLYASKVOLUME1</f>
        <v>0</v>
      </c>
      <c r="AN22" cm="1">
        <f t="array" ref="AN22">[17]!VOLUMEBIDLOT</f>
        <v>0</v>
      </c>
      <c r="AO22" cm="1">
        <f t="array" ref="AO22">[17]!VOLUMEASKLOT</f>
        <v>0</v>
      </c>
    </row>
    <row r="23" spans="1:41" x14ac:dyDescent="0.25">
      <c r="A23" t="s">
        <v>76</v>
      </c>
      <c r="B23" t="s">
        <v>235</v>
      </c>
      <c r="C23" cm="1">
        <f t="array" ref="C23">[18]!NETVOLUME3862909776</f>
        <v>0</v>
      </c>
      <c r="D23" cm="1">
        <f t="array" ref="D23">[18]!LONGPOSITION3862909776</f>
        <v>0</v>
      </c>
      <c r="E23" cm="1">
        <f t="array" ref="E23">[18]!SHORTPOSITION3862909776</f>
        <v>0</v>
      </c>
      <c r="F23" cm="1">
        <f t="array" ref="F23">[18]!MTMPL3862909776</f>
        <v>0</v>
      </c>
      <c r="G23" cm="1">
        <f t="array" ref="G23">[18]!LASTPRICE</f>
        <v>8642</v>
      </c>
      <c r="H23" cm="1">
        <f t="array" ref="H23">[18]!NETCHANGE</f>
        <v>-270</v>
      </c>
      <c r="I23" t="str" cm="1">
        <f t="array" ref="I23">[18]!NETCHANGERATE</f>
        <v>-3.03%</v>
      </c>
      <c r="J23" cm="1">
        <f t="array" ref="J23">[18]!BIDVOLUME1</f>
        <v>4</v>
      </c>
      <c r="K23" cm="1">
        <f t="array" ref="K23">[18]!BIDPRICE1</f>
        <v>8642</v>
      </c>
      <c r="L23" cm="1">
        <f t="array" ref="L23">[18]!ASKPRICE1</f>
        <v>8644</v>
      </c>
      <c r="M23" cm="1">
        <f t="array" ref="M23">[18]!ASKVOLUME1</f>
        <v>17</v>
      </c>
      <c r="N23" cm="1">
        <f t="array" ref="N23">[18]!OPENPRICE</f>
        <v>8742</v>
      </c>
      <c r="O23" cm="1">
        <f t="array" ref="O23">[18]!HIGH</f>
        <v>8866</v>
      </c>
      <c r="P23" cm="1">
        <f t="array" ref="P23">[18]!LOW</f>
        <v>8628</v>
      </c>
      <c r="Q23" cm="1">
        <f t="array" ref="Q23">[18]!TRADEVOLUME</f>
        <v>200555</v>
      </c>
      <c r="R23" cm="1">
        <f t="array" ref="R23">[18]!POSIVOL</f>
        <v>163508</v>
      </c>
      <c r="S23" cm="1">
        <f t="array" ref="S23">[18]!POSIVOLCHANGE</f>
        <v>0</v>
      </c>
      <c r="T23" cm="1">
        <f t="array" ref="T23">[18]!POSIVOLCHANGEDAILY</f>
        <v>-20237</v>
      </c>
      <c r="U23" t="str" cm="1">
        <f t="array" ref="U23">[18]!INST_STATE</f>
        <v>连续交易</v>
      </c>
      <c r="V23" t="str" cm="1">
        <f t="array" ref="V23">[18]!UPDATETIME</f>
        <v>09:51:32.000</v>
      </c>
      <c r="W23" cm="1">
        <f t="array" ref="W23">[18]!UPPERLIMITPRICE</f>
        <v>9894</v>
      </c>
      <c r="X23" cm="1">
        <f t="array" ref="X23">[18]!LOWERLIMITPRICE</f>
        <v>7930</v>
      </c>
      <c r="Y23" t="e" cm="1">
        <f t="array" ref="Y23">[18]!CLOSEPRICE</f>
        <v>#N/A</v>
      </c>
      <c r="Z23" cm="1">
        <f t="array" ref="Z23">[18]!SETTLEPRICE</f>
        <v>8784</v>
      </c>
      <c r="AA23" cm="1">
        <f t="array" ref="AA23">[18]!PRECLOSE</f>
        <v>8770</v>
      </c>
      <c r="AB23" cm="1">
        <f t="array" ref="AB23">[18]!PRESETTLEPRICE</f>
        <v>8912</v>
      </c>
      <c r="AC23" t="s">
        <v>41</v>
      </c>
      <c r="AD23" t="s">
        <v>77</v>
      </c>
      <c r="AE23">
        <v>5</v>
      </c>
      <c r="AF23">
        <v>20260714</v>
      </c>
      <c r="AG23" t="e" cm="1">
        <f t="array" ref="AG23">[18]!MARGIN</f>
        <v>#N/A</v>
      </c>
      <c r="AH23" t="e" cm="1">
        <f t="array" ref="AH23">[18]!FEE</f>
        <v>#N/A</v>
      </c>
      <c r="AI23" t="s">
        <v>210</v>
      </c>
      <c r="AJ23" cm="1">
        <f t="array" ref="AJ23">[18]!IMPLYBIDVOLUME1</f>
        <v>0</v>
      </c>
      <c r="AK23" t="e" cm="1">
        <f t="array" ref="AK23">[18]!IMPLYBIDPRICE1</f>
        <v>#N/A</v>
      </c>
      <c r="AL23" t="e" cm="1">
        <f t="array" ref="AL23">[18]!IMPLYASKPRICE1</f>
        <v>#N/A</v>
      </c>
      <c r="AM23" cm="1">
        <f t="array" ref="AM23">[18]!IMPLYASKVOLUME1</f>
        <v>0</v>
      </c>
      <c r="AN23" cm="1">
        <f t="array" ref="AN23">[18]!VOLUMEBIDLOT</f>
        <v>0</v>
      </c>
      <c r="AO23" cm="1">
        <f t="array" ref="AO23">[18]!VOLUMEASKLOT</f>
        <v>0</v>
      </c>
    </row>
    <row r="24" spans="1:41" x14ac:dyDescent="0.25">
      <c r="A24" t="s">
        <v>78</v>
      </c>
      <c r="B24" t="s">
        <v>236</v>
      </c>
      <c r="C24" cm="1">
        <f t="array" ref="C24">[19]!NETVOLUME3862909776</f>
        <v>0</v>
      </c>
      <c r="D24" cm="1">
        <f t="array" ref="D24">[19]!LONGPOSITION3862909776</f>
        <v>0</v>
      </c>
      <c r="E24" cm="1">
        <f t="array" ref="E24">[19]!SHORTPOSITION3862909776</f>
        <v>0</v>
      </c>
      <c r="F24" cm="1">
        <f t="array" ref="F24">[19]!MTMPL3862909776</f>
        <v>0</v>
      </c>
      <c r="G24" cm="1">
        <f t="array" ref="G24">[19]!LASTPRICE</f>
        <v>2479</v>
      </c>
      <c r="H24" t="e" cm="1">
        <f t="array" ref="H24">[19]!NETCHANGE</f>
        <v>#N/A</v>
      </c>
      <c r="I24" t="e" cm="1">
        <f t="array" ref="I24">[19]!NETCHANGERATE</f>
        <v>#N/A</v>
      </c>
      <c r="J24" cm="1">
        <f t="array" ref="J24">[19]!BIDVOLUME1</f>
        <v>0</v>
      </c>
      <c r="K24" t="e" cm="1">
        <f t="array" ref="K24">[19]!BIDPRICE1</f>
        <v>#N/A</v>
      </c>
      <c r="L24" t="e" cm="1">
        <f t="array" ref="L24">[19]!ASKPRICE1</f>
        <v>#N/A</v>
      </c>
      <c r="M24" cm="1">
        <f t="array" ref="M24">[19]!ASKVOLUME1</f>
        <v>0</v>
      </c>
      <c r="N24" t="e" cm="1">
        <f t="array" ref="N24">[19]!OPENPRICE</f>
        <v>#N/A</v>
      </c>
      <c r="O24" t="e" cm="1">
        <f t="array" ref="O24">[19]!HIGH</f>
        <v>#N/A</v>
      </c>
      <c r="P24" t="e" cm="1">
        <f t="array" ref="P24">[19]!LOW</f>
        <v>#N/A</v>
      </c>
      <c r="Q24" cm="1">
        <f t="array" ref="Q24">[19]!TRADEVOLUME</f>
        <v>0</v>
      </c>
      <c r="R24" cm="1">
        <f t="array" ref="R24">[19]!POSIVOL</f>
        <v>0</v>
      </c>
      <c r="S24" t="e" cm="1">
        <f t="array" ref="S24">[19]!POSIVOLCHANGE</f>
        <v>#N/A</v>
      </c>
      <c r="T24" cm="1">
        <f t="array" ref="T24">[19]!POSIVOLCHANGEDAILY</f>
        <v>0</v>
      </c>
      <c r="U24" t="e" cm="1">
        <f t="array" ref="U24">[19]!INST_STATE</f>
        <v>#N/A</v>
      </c>
      <c r="V24" t="str" cm="1">
        <f t="array" ref="V24">[19]!UPDATETIME</f>
        <v>19:05:50.000</v>
      </c>
      <c r="W24" t="e" cm="1">
        <f t="array" ref="W24">[19]!UPPERLIMITPRICE</f>
        <v>#N/A</v>
      </c>
      <c r="X24" t="e" cm="1">
        <f t="array" ref="X24">[19]!LOWERLIMITPRICE</f>
        <v>#N/A</v>
      </c>
      <c r="Y24" t="e" cm="1">
        <f t="array" ref="Y24">[19]!CLOSEPRICE</f>
        <v>#N/A</v>
      </c>
      <c r="Z24" t="e" cm="1">
        <f t="array" ref="Z24">[19]!SETTLEPRICE</f>
        <v>#N/A</v>
      </c>
      <c r="AA24" cm="1">
        <f t="array" ref="AA24">[19]!PRECLOSE</f>
        <v>2479</v>
      </c>
      <c r="AB24" cm="1">
        <f t="array" ref="AB24">[19]!PRESETTLEPRICE</f>
        <v>2479</v>
      </c>
      <c r="AC24" t="s">
        <v>41</v>
      </c>
      <c r="AD24" t="s">
        <v>79</v>
      </c>
      <c r="AE24">
        <v>20</v>
      </c>
      <c r="AF24">
        <v>20270514</v>
      </c>
      <c r="AG24" t="e" cm="1">
        <f t="array" ref="AG24">[19]!MARGIN</f>
        <v>#N/A</v>
      </c>
      <c r="AH24" t="e" cm="1">
        <f t="array" ref="AH24">[19]!FEE</f>
        <v>#N/A</v>
      </c>
      <c r="AI24" t="s">
        <v>210</v>
      </c>
      <c r="AJ24" cm="1">
        <f t="array" ref="AJ24">[19]!IMPLYBIDVOLUME1</f>
        <v>0</v>
      </c>
      <c r="AK24" t="e" cm="1">
        <f t="array" ref="AK24">[19]!IMPLYBIDPRICE1</f>
        <v>#N/A</v>
      </c>
      <c r="AL24" t="e" cm="1">
        <f t="array" ref="AL24">[19]!IMPLYASKPRICE1</f>
        <v>#N/A</v>
      </c>
      <c r="AM24" cm="1">
        <f t="array" ref="AM24">[19]!IMPLYASKVOLUME1</f>
        <v>0</v>
      </c>
      <c r="AN24" cm="1">
        <f t="array" ref="AN24">[19]!VOLUMEBIDLOT</f>
        <v>0</v>
      </c>
      <c r="AO24" cm="1">
        <f t="array" ref="AO24">[19]!VOLUMEASKLOT</f>
        <v>0</v>
      </c>
    </row>
    <row r="25" spans="1:41" x14ac:dyDescent="0.25">
      <c r="A25" t="s">
        <v>80</v>
      </c>
      <c r="B25" t="s">
        <v>237</v>
      </c>
      <c r="C25" cm="1">
        <f t="array" ref="C25">[20]!NETVOLUME3862909776</f>
        <v>0</v>
      </c>
      <c r="D25" cm="1">
        <f t="array" ref="D25">[20]!LONGPOSITION3862909776</f>
        <v>0</v>
      </c>
      <c r="E25" cm="1">
        <f t="array" ref="E25">[20]!SHORTPOSITION3862909776</f>
        <v>0</v>
      </c>
      <c r="F25" cm="1">
        <f t="array" ref="F25">[20]!MTMPL3862909776</f>
        <v>0</v>
      </c>
      <c r="G25" cm="1">
        <f t="array" ref="G25">[20]!LASTPRICE</f>
        <v>2338</v>
      </c>
      <c r="H25" cm="1">
        <f t="array" ref="H25">[20]!NETCHANGE</f>
        <v>3</v>
      </c>
      <c r="I25" t="str" cm="1">
        <f t="array" ref="I25">[20]!NETCHANGERATE</f>
        <v>+0.13%</v>
      </c>
      <c r="J25" cm="1">
        <f t="array" ref="J25">[20]!BIDVOLUME1</f>
        <v>499</v>
      </c>
      <c r="K25" cm="1">
        <f t="array" ref="K25">[20]!BIDPRICE1</f>
        <v>2338</v>
      </c>
      <c r="L25" cm="1">
        <f t="array" ref="L25">[20]!ASKPRICE1</f>
        <v>2339</v>
      </c>
      <c r="M25" cm="1">
        <f t="array" ref="M25">[20]!ASKVOLUME1</f>
        <v>239</v>
      </c>
      <c r="N25" cm="1">
        <f t="array" ref="N25">[20]!OPENPRICE</f>
        <v>2340</v>
      </c>
      <c r="O25" cm="1">
        <f t="array" ref="O25">[20]!HIGH</f>
        <v>2349</v>
      </c>
      <c r="P25" cm="1">
        <f t="array" ref="P25">[20]!LOW</f>
        <v>2332</v>
      </c>
      <c r="Q25" cm="1">
        <f t="array" ref="Q25">[20]!TRADEVOLUME</f>
        <v>284401</v>
      </c>
      <c r="R25" cm="1">
        <f t="array" ref="R25">[20]!POSIVOL</f>
        <v>880044</v>
      </c>
      <c r="S25" cm="1">
        <f t="array" ref="S25">[20]!POSIVOLCHANGE</f>
        <v>0</v>
      </c>
      <c r="T25" cm="1">
        <f t="array" ref="T25">[20]!POSIVOLCHANGEDAILY</f>
        <v>11656</v>
      </c>
      <c r="U25" t="str" cm="1">
        <f t="array" ref="U25">[20]!INST_STATE</f>
        <v>连续交易</v>
      </c>
      <c r="V25" t="str" cm="1">
        <f t="array" ref="V25">[20]!UPDATETIME</f>
        <v>09:51:31.000</v>
      </c>
      <c r="W25" cm="1">
        <f t="array" ref="W25">[20]!UPPERLIMITPRICE</f>
        <v>2476</v>
      </c>
      <c r="X25" cm="1">
        <f t="array" ref="X25">[20]!LOWERLIMITPRICE</f>
        <v>2194</v>
      </c>
      <c r="Y25" t="e" cm="1">
        <f t="array" ref="Y25">[20]!CLOSEPRICE</f>
        <v>#N/A</v>
      </c>
      <c r="Z25" cm="1">
        <f t="array" ref="Z25">[20]!SETTLEPRICE</f>
        <v>2344</v>
      </c>
      <c r="AA25" cm="1">
        <f t="array" ref="AA25">[20]!PRECLOSE</f>
        <v>2337</v>
      </c>
      <c r="AB25" cm="1">
        <f t="array" ref="AB25">[20]!PRESETTLEPRICE</f>
        <v>2335</v>
      </c>
      <c r="AC25" t="s">
        <v>41</v>
      </c>
      <c r="AD25" t="s">
        <v>81</v>
      </c>
      <c r="AE25">
        <v>10</v>
      </c>
      <c r="AF25">
        <v>20260914</v>
      </c>
      <c r="AG25" t="e" cm="1">
        <f t="array" ref="AG25">[20]!MARGIN</f>
        <v>#N/A</v>
      </c>
      <c r="AH25" t="e" cm="1">
        <f t="array" ref="AH25">[20]!FEE</f>
        <v>#N/A</v>
      </c>
      <c r="AI25" t="s">
        <v>210</v>
      </c>
      <c r="AJ25" cm="1">
        <f t="array" ref="AJ25">[20]!IMPLYBIDVOLUME1</f>
        <v>0</v>
      </c>
      <c r="AK25" t="e" cm="1">
        <f t="array" ref="AK25">[20]!IMPLYBIDPRICE1</f>
        <v>#N/A</v>
      </c>
      <c r="AL25" t="e" cm="1">
        <f t="array" ref="AL25">[20]!IMPLYASKPRICE1</f>
        <v>#N/A</v>
      </c>
      <c r="AM25" cm="1">
        <f t="array" ref="AM25">[20]!IMPLYASKVOLUME1</f>
        <v>0</v>
      </c>
      <c r="AN25" cm="1">
        <f t="array" ref="AN25">[20]!VOLUMEBIDLOT</f>
        <v>0</v>
      </c>
      <c r="AO25" cm="1">
        <f t="array" ref="AO25">[20]!VOLUMEASKLOT</f>
        <v>0</v>
      </c>
    </row>
    <row r="26" spans="1:41" x14ac:dyDescent="0.25">
      <c r="A26" t="s">
        <v>82</v>
      </c>
      <c r="B26" t="s">
        <v>238</v>
      </c>
      <c r="C26" cm="1">
        <f t="array" ref="C26">[21]!NETVOLUME3862909776</f>
        <v>0</v>
      </c>
      <c r="D26" cm="1">
        <f t="array" ref="D26">[21]!LONGPOSITION3862909776</f>
        <v>0</v>
      </c>
      <c r="E26" cm="1">
        <f t="array" ref="E26">[21]!SHORTPOSITION3862909776</f>
        <v>0</v>
      </c>
      <c r="F26" cm="1">
        <f t="array" ref="F26">[21]!MTMPL3862909776</f>
        <v>0</v>
      </c>
      <c r="G26" cm="1">
        <f t="array" ref="G26">[21]!LASTPRICE</f>
        <v>5700</v>
      </c>
      <c r="H26" cm="1">
        <f t="array" ref="H26">[21]!NETCHANGE</f>
        <v>-18</v>
      </c>
      <c r="I26" t="str" cm="1">
        <f t="array" ref="I26">[21]!NETCHANGERATE</f>
        <v>-0.31%</v>
      </c>
      <c r="J26" cm="1">
        <f t="array" ref="J26">[21]!BIDVOLUME1</f>
        <v>2</v>
      </c>
      <c r="K26" cm="1">
        <f t="array" ref="K26">[21]!BIDPRICE1</f>
        <v>5661</v>
      </c>
      <c r="L26" cm="1">
        <f t="array" ref="L26">[21]!ASKPRICE1</f>
        <v>5740</v>
      </c>
      <c r="M26" cm="1">
        <f t="array" ref="M26">[21]!ASKVOLUME1</f>
        <v>1</v>
      </c>
      <c r="N26" cm="1">
        <f t="array" ref="N26">[21]!OPENPRICE</f>
        <v>5702</v>
      </c>
      <c r="O26" cm="1">
        <f t="array" ref="O26">[21]!HIGH</f>
        <v>5702</v>
      </c>
      <c r="P26" cm="1">
        <f t="array" ref="P26">[21]!LOW</f>
        <v>5699</v>
      </c>
      <c r="Q26" cm="1">
        <f t="array" ref="Q26">[21]!TRADEVOLUME</f>
        <v>4</v>
      </c>
      <c r="R26" cm="1">
        <f t="array" ref="R26">[21]!POSIVOL</f>
        <v>44</v>
      </c>
      <c r="S26" cm="1">
        <f t="array" ref="S26">[21]!POSIVOLCHANGE</f>
        <v>0</v>
      </c>
      <c r="T26" cm="1">
        <f t="array" ref="T26">[21]!POSIVOLCHANGEDAILY</f>
        <v>-2</v>
      </c>
      <c r="U26" t="str" cm="1">
        <f t="array" ref="U26">[21]!INST_STATE</f>
        <v>连续交易</v>
      </c>
      <c r="V26" t="str" cm="1">
        <f t="array" ref="V26">[21]!UPDATETIME</f>
        <v>09:55:47.000</v>
      </c>
      <c r="W26" cm="1">
        <f t="array" ref="W26">[21]!UPPERLIMITPRICE</f>
        <v>6318</v>
      </c>
      <c r="X26" cm="1">
        <f t="array" ref="X26">[21]!LOWERLIMITPRICE</f>
        <v>5168</v>
      </c>
      <c r="Y26" t="e" cm="1">
        <f t="array" ref="Y26">[21]!CLOSEPRICE</f>
        <v>#N/A</v>
      </c>
      <c r="Z26" t="e" cm="1">
        <f t="array" ref="Z26">[21]!SETTLEPRICE</f>
        <v>#N/A</v>
      </c>
      <c r="AA26" cm="1">
        <f t="array" ref="AA26">[21]!PRECLOSE</f>
        <v>5744</v>
      </c>
      <c r="AB26" cm="1">
        <f t="array" ref="AB26">[21]!PRESETTLEPRICE</f>
        <v>5718</v>
      </c>
      <c r="AC26" t="s">
        <v>41</v>
      </c>
      <c r="AD26" t="s">
        <v>83</v>
      </c>
      <c r="AE26">
        <v>10</v>
      </c>
      <c r="AF26">
        <v>20260914</v>
      </c>
      <c r="AG26" t="e" cm="1">
        <f t="array" ref="AG26">[21]!MARGIN</f>
        <v>#N/A</v>
      </c>
      <c r="AH26" t="e" cm="1">
        <f t="array" ref="AH26">[21]!FEE</f>
        <v>#N/A</v>
      </c>
      <c r="AI26" t="s">
        <v>210</v>
      </c>
      <c r="AJ26" cm="1">
        <f t="array" ref="AJ26">[21]!IMPLYBIDVOLUME1</f>
        <v>0</v>
      </c>
      <c r="AK26" t="e" cm="1">
        <f t="array" ref="AK26">[21]!IMPLYBIDPRICE1</f>
        <v>#N/A</v>
      </c>
      <c r="AL26" t="e" cm="1">
        <f t="array" ref="AL26">[21]!IMPLYASKPRICE1</f>
        <v>#N/A</v>
      </c>
      <c r="AM26" cm="1">
        <f t="array" ref="AM26">[21]!IMPLYASKVOLUME1</f>
        <v>0</v>
      </c>
      <c r="AN26" cm="1">
        <f t="array" ref="AN26">[21]!VOLUMEBIDLOT</f>
        <v>0</v>
      </c>
      <c r="AO26" cm="1">
        <f t="array" ref="AO26">[21]!VOLUMEASKLOT</f>
        <v>0</v>
      </c>
    </row>
    <row r="27" spans="1:41" x14ac:dyDescent="0.25">
      <c r="A27" t="s">
        <v>84</v>
      </c>
      <c r="B27" t="s">
        <v>239</v>
      </c>
      <c r="C27" cm="1">
        <f t="array" ref="C27">[22]!NETVOLUME3862909776</f>
        <v>0</v>
      </c>
      <c r="D27" cm="1">
        <f t="array" ref="D27">[22]!LONGPOSITION3862909776</f>
        <v>0</v>
      </c>
      <c r="E27" cm="1">
        <f t="array" ref="E27">[22]!SHORTPOSITION3862909776</f>
        <v>0</v>
      </c>
      <c r="F27" cm="1">
        <f t="array" ref="F27">[22]!MTMPL3862909776</f>
        <v>0</v>
      </c>
      <c r="G27" cm="1">
        <f t="array" ref="G27">[22]!LASTPRICE</f>
        <v>1209</v>
      </c>
      <c r="H27" cm="1">
        <f t="array" ref="H27">[22]!NETCHANGE</f>
        <v>27</v>
      </c>
      <c r="I27" t="str" cm="1">
        <f t="array" ref="I27">[22]!NETCHANGERATE</f>
        <v>+2.28%</v>
      </c>
      <c r="J27" cm="1">
        <f t="array" ref="J27">[22]!BIDVOLUME1</f>
        <v>1191</v>
      </c>
      <c r="K27" cm="1">
        <f t="array" ref="K27">[22]!BIDPRICE1</f>
        <v>1208</v>
      </c>
      <c r="L27" cm="1">
        <f t="array" ref="L27">[22]!ASKPRICE1</f>
        <v>1209</v>
      </c>
      <c r="M27" cm="1">
        <f t="array" ref="M27">[22]!ASKVOLUME1</f>
        <v>628</v>
      </c>
      <c r="N27" cm="1">
        <f t="array" ref="N27">[22]!OPENPRICE</f>
        <v>1178</v>
      </c>
      <c r="O27" cm="1">
        <f t="array" ref="O27">[22]!HIGH</f>
        <v>1230</v>
      </c>
      <c r="P27" cm="1">
        <f t="array" ref="P27">[22]!LOW</f>
        <v>1177</v>
      </c>
      <c r="Q27" cm="1">
        <f t="array" ref="Q27">[22]!TRADEVOLUME</f>
        <v>734156</v>
      </c>
      <c r="R27" cm="1">
        <f t="array" ref="R27">[22]!POSIVOL</f>
        <v>1174395</v>
      </c>
      <c r="S27" cm="1">
        <f t="array" ref="S27">[22]!POSIVOLCHANGE</f>
        <v>0</v>
      </c>
      <c r="T27" cm="1">
        <f t="array" ref="T27">[22]!POSIVOLCHANGEDAILY</f>
        <v>-58816</v>
      </c>
      <c r="U27" t="str" cm="1">
        <f t="array" ref="U27">[22]!INST_STATE</f>
        <v>连续交易</v>
      </c>
      <c r="V27" t="str" cm="1">
        <f t="array" ref="V27">[22]!UPDATETIME</f>
        <v>09:51:31.000</v>
      </c>
      <c r="W27" cm="1">
        <f t="array" ref="W27">[22]!UPPERLIMITPRICE</f>
        <v>1277</v>
      </c>
      <c r="X27" cm="1">
        <f t="array" ref="X27">[22]!LOWERLIMITPRICE</f>
        <v>1087</v>
      </c>
      <c r="Y27" t="e" cm="1">
        <f t="array" ref="Y27">[22]!CLOSEPRICE</f>
        <v>#N/A</v>
      </c>
      <c r="Z27" cm="1">
        <f t="array" ref="Z27">[22]!SETTLEPRICE</f>
        <v>1183</v>
      </c>
      <c r="AA27" cm="1">
        <f t="array" ref="AA27">[22]!PRECLOSE</f>
        <v>1181</v>
      </c>
      <c r="AB27" cm="1">
        <f t="array" ref="AB27">[22]!PRESETTLEPRICE</f>
        <v>1182</v>
      </c>
      <c r="AC27" t="s">
        <v>41</v>
      </c>
      <c r="AD27" t="s">
        <v>85</v>
      </c>
      <c r="AE27">
        <v>20</v>
      </c>
      <c r="AF27">
        <v>20260914</v>
      </c>
      <c r="AG27" t="e" cm="1">
        <f t="array" ref="AG27">[22]!MARGIN</f>
        <v>#N/A</v>
      </c>
      <c r="AH27" t="e" cm="1">
        <f t="array" ref="AH27">[22]!FEE</f>
        <v>#N/A</v>
      </c>
      <c r="AI27" t="s">
        <v>210</v>
      </c>
      <c r="AJ27" cm="1">
        <f t="array" ref="AJ27">[22]!IMPLYBIDVOLUME1</f>
        <v>0</v>
      </c>
      <c r="AK27" t="e" cm="1">
        <f t="array" ref="AK27">[22]!IMPLYBIDPRICE1</f>
        <v>#N/A</v>
      </c>
      <c r="AL27" t="e" cm="1">
        <f t="array" ref="AL27">[22]!IMPLYASKPRICE1</f>
        <v>#N/A</v>
      </c>
      <c r="AM27" cm="1">
        <f t="array" ref="AM27">[22]!IMPLYASKVOLUME1</f>
        <v>0</v>
      </c>
      <c r="AN27" cm="1">
        <f t="array" ref="AN27">[22]!VOLUMEBIDLOT</f>
        <v>0</v>
      </c>
      <c r="AO27" cm="1">
        <f t="array" ref="AO27">[22]!VOLUMEASKLOT</f>
        <v>0</v>
      </c>
    </row>
    <row r="28" spans="1:41" x14ac:dyDescent="0.25">
      <c r="A28" t="s">
        <v>86</v>
      </c>
      <c r="B28" t="s">
        <v>240</v>
      </c>
      <c r="C28" cm="1">
        <f t="array" ref="C28">[23]!NETVOLUME3862909776</f>
        <v>0</v>
      </c>
      <c r="D28" cm="1">
        <f t="array" ref="D28">[23]!LONGPOSITION3862909776</f>
        <v>0</v>
      </c>
      <c r="E28" cm="1">
        <f t="array" ref="E28">[23]!SHORTPOSITION3862909776</f>
        <v>0</v>
      </c>
      <c r="F28" cm="1">
        <f t="array" ref="F28">[23]!MTMPL3862909776</f>
        <v>0</v>
      </c>
      <c r="G28" cm="1">
        <f t="array" ref="G28">[23]!LASTPRICE</f>
        <v>6018</v>
      </c>
      <c r="H28" cm="1">
        <f t="array" ref="H28">[23]!NETCHANGE</f>
        <v>178</v>
      </c>
      <c r="I28" t="str" cm="1">
        <f t="array" ref="I28">[23]!NETCHANGERATE</f>
        <v>+3.05%</v>
      </c>
      <c r="J28" cm="1">
        <f t="array" ref="J28">[23]!BIDVOLUME1</f>
        <v>101</v>
      </c>
      <c r="K28" cm="1">
        <f t="array" ref="K28">[23]!BIDPRICE1</f>
        <v>6018</v>
      </c>
      <c r="L28" cm="1">
        <f t="array" ref="L28">[23]!ASKPRICE1</f>
        <v>6020</v>
      </c>
      <c r="M28" cm="1">
        <f t="array" ref="M28">[23]!ASKVOLUME1</f>
        <v>48</v>
      </c>
      <c r="N28" cm="1">
        <f t="array" ref="N28">[23]!OPENPRICE</f>
        <v>5996</v>
      </c>
      <c r="O28" cm="1">
        <f t="array" ref="O28">[23]!HIGH</f>
        <v>6068</v>
      </c>
      <c r="P28" cm="1">
        <f t="array" ref="P28">[23]!LOW</f>
        <v>5976</v>
      </c>
      <c r="Q28" cm="1">
        <f t="array" ref="Q28">[23]!TRADEVOLUME</f>
        <v>230690</v>
      </c>
      <c r="R28" cm="1">
        <f t="array" ref="R28">[23]!POSIVOL</f>
        <v>263941</v>
      </c>
      <c r="S28" cm="1">
        <f t="array" ref="S28">[23]!POSIVOLCHANGE</f>
        <v>0</v>
      </c>
      <c r="T28" cm="1">
        <f t="array" ref="T28">[23]!POSIVOLCHANGEDAILY</f>
        <v>20936</v>
      </c>
      <c r="U28" t="str" cm="1">
        <f t="array" ref="U28">[23]!INST_STATE</f>
        <v>连续交易</v>
      </c>
      <c r="V28" t="str" cm="1">
        <f t="array" ref="V28">[23]!UPDATETIME</f>
        <v>09:51:32.000</v>
      </c>
      <c r="W28" cm="1">
        <f t="array" ref="W28">[23]!UPPERLIMITPRICE</f>
        <v>6250</v>
      </c>
      <c r="X28" cm="1">
        <f t="array" ref="X28">[23]!LOWERLIMITPRICE</f>
        <v>5430</v>
      </c>
      <c r="Y28" t="e" cm="1">
        <f t="array" ref="Y28">[23]!CLOSEPRICE</f>
        <v>#N/A</v>
      </c>
      <c r="Z28" t="e" cm="1">
        <f t="array" ref="Z28">[23]!SETTLEPRICE</f>
        <v>#N/A</v>
      </c>
      <c r="AA28" cm="1">
        <f t="array" ref="AA28">[23]!PRECLOSE</f>
        <v>5846</v>
      </c>
      <c r="AB28" cm="1">
        <f t="array" ref="AB28">[23]!PRESETTLEPRICE</f>
        <v>5840</v>
      </c>
      <c r="AC28" t="s">
        <v>41</v>
      </c>
      <c r="AD28" t="s">
        <v>87</v>
      </c>
      <c r="AE28">
        <v>5</v>
      </c>
      <c r="AF28">
        <v>20260714</v>
      </c>
      <c r="AG28" t="e" cm="1">
        <f t="array" ref="AG28">[23]!MARGIN</f>
        <v>#N/A</v>
      </c>
      <c r="AH28" t="e" cm="1">
        <f t="array" ref="AH28">[23]!FEE</f>
        <v>#N/A</v>
      </c>
      <c r="AI28" t="s">
        <v>210</v>
      </c>
      <c r="AJ28" cm="1">
        <f t="array" ref="AJ28">[23]!IMPLYBIDVOLUME1</f>
        <v>0</v>
      </c>
      <c r="AK28" t="e" cm="1">
        <f t="array" ref="AK28">[23]!IMPLYBIDPRICE1</f>
        <v>#N/A</v>
      </c>
      <c r="AL28" t="e" cm="1">
        <f t="array" ref="AL28">[23]!IMPLYASKPRICE1</f>
        <v>#N/A</v>
      </c>
      <c r="AM28" cm="1">
        <f t="array" ref="AM28">[23]!IMPLYASKVOLUME1</f>
        <v>0</v>
      </c>
      <c r="AN28" cm="1">
        <f t="array" ref="AN28">[23]!VOLUMEBIDLOT</f>
        <v>0</v>
      </c>
      <c r="AO28" cm="1">
        <f t="array" ref="AO28">[23]!VOLUMEASKLOT</f>
        <v>0</v>
      </c>
    </row>
    <row r="29" spans="1:41" x14ac:dyDescent="0.25">
      <c r="A29" t="s">
        <v>88</v>
      </c>
      <c r="B29" t="s">
        <v>241</v>
      </c>
      <c r="C29" cm="1">
        <f t="array" ref="C29">[24]!NETVOLUME3862909776</f>
        <v>0</v>
      </c>
      <c r="D29" cm="1">
        <f t="array" ref="D29">[24]!LONGPOSITION3862909776</f>
        <v>0</v>
      </c>
      <c r="E29" cm="1">
        <f t="array" ref="E29">[24]!SHORTPOSITION3862909776</f>
        <v>0</v>
      </c>
      <c r="F29" cm="1">
        <f t="array" ref="F29">[24]!MTMPL3862909776</f>
        <v>0</v>
      </c>
      <c r="G29" cm="1">
        <f t="array" ref="G29">[24]!LASTPRICE</f>
        <v>2004</v>
      </c>
      <c r="H29" cm="1">
        <f t="array" ref="H29">[24]!NETCHANGE</f>
        <v>-8</v>
      </c>
      <c r="I29" t="str" cm="1">
        <f t="array" ref="I29">[24]!NETCHANGERATE</f>
        <v>-0.40%</v>
      </c>
      <c r="J29" cm="1">
        <f t="array" ref="J29">[24]!BIDVOLUME1</f>
        <v>188</v>
      </c>
      <c r="K29" cm="1">
        <f t="array" ref="K29">[24]!BIDPRICE1</f>
        <v>2003</v>
      </c>
      <c r="L29" cm="1">
        <f t="array" ref="L29">[24]!ASKPRICE1</f>
        <v>2004</v>
      </c>
      <c r="M29" cm="1">
        <f t="array" ref="M29">[24]!ASKVOLUME1</f>
        <v>211</v>
      </c>
      <c r="N29" cm="1">
        <f t="array" ref="N29">[24]!OPENPRICE</f>
        <v>1999</v>
      </c>
      <c r="O29" cm="1">
        <f t="array" ref="O29">[24]!HIGH</f>
        <v>2041</v>
      </c>
      <c r="P29" cm="1">
        <f t="array" ref="P29">[24]!LOW</f>
        <v>1983</v>
      </c>
      <c r="Q29" cm="1">
        <f t="array" ref="Q29">[24]!TRADEVOLUME</f>
        <v>422259</v>
      </c>
      <c r="R29" cm="1">
        <f t="array" ref="R29">[24]!POSIVOL</f>
        <v>271881</v>
      </c>
      <c r="S29" cm="1">
        <f t="array" ref="S29">[24]!POSIVOLCHANGE</f>
        <v>0</v>
      </c>
      <c r="T29" cm="1">
        <f t="array" ref="T29">[24]!POSIVOLCHANGEDAILY</f>
        <v>5734</v>
      </c>
      <c r="U29" t="str" cm="1">
        <f t="array" ref="U29">[24]!INST_STATE</f>
        <v>连续交易</v>
      </c>
      <c r="V29" t="str" cm="1">
        <f t="array" ref="V29">[24]!UPDATETIME</f>
        <v>09:51:31.000</v>
      </c>
      <c r="W29" cm="1">
        <f t="array" ref="W29">[24]!UPPERLIMITPRICE</f>
        <v>2214</v>
      </c>
      <c r="X29" cm="1">
        <f t="array" ref="X29">[24]!LOWERLIMITPRICE</f>
        <v>1810</v>
      </c>
      <c r="Y29" t="e" cm="1">
        <f t="array" ref="Y29">[24]!CLOSEPRICE</f>
        <v>#N/A</v>
      </c>
      <c r="Z29" cm="1">
        <f t="array" ref="Z29">[24]!SETTLEPRICE</f>
        <v>1990</v>
      </c>
      <c r="AA29" cm="1">
        <f t="array" ref="AA29">[24]!PRECLOSE</f>
        <v>2001</v>
      </c>
      <c r="AB29" cm="1">
        <f t="array" ref="AB29">[24]!PRESETTLEPRICE</f>
        <v>2012</v>
      </c>
      <c r="AC29" t="s">
        <v>41</v>
      </c>
      <c r="AD29" t="s">
        <v>89</v>
      </c>
      <c r="AE29">
        <v>30</v>
      </c>
      <c r="AF29">
        <v>20260714</v>
      </c>
      <c r="AG29" t="e" cm="1">
        <f t="array" ref="AG29">[24]!MARGIN</f>
        <v>#N/A</v>
      </c>
      <c r="AH29" t="e" cm="1">
        <f t="array" ref="AH29">[24]!FEE</f>
        <v>#N/A</v>
      </c>
      <c r="AI29" t="s">
        <v>210</v>
      </c>
      <c r="AJ29" cm="1">
        <f t="array" ref="AJ29">[24]!IMPLYBIDVOLUME1</f>
        <v>0</v>
      </c>
      <c r="AK29" t="e" cm="1">
        <f t="array" ref="AK29">[24]!IMPLYBIDPRICE1</f>
        <v>#N/A</v>
      </c>
      <c r="AL29" t="e" cm="1">
        <f t="array" ref="AL29">[24]!IMPLYASKPRICE1</f>
        <v>#N/A</v>
      </c>
      <c r="AM29" cm="1">
        <f t="array" ref="AM29">[24]!IMPLYASKVOLUME1</f>
        <v>0</v>
      </c>
      <c r="AN29" cm="1">
        <f t="array" ref="AN29">[24]!VOLUMEBIDLOT</f>
        <v>0</v>
      </c>
      <c r="AO29" cm="1">
        <f t="array" ref="AO29">[24]!VOLUMEASKLOT</f>
        <v>0</v>
      </c>
    </row>
    <row r="30" spans="1:41" x14ac:dyDescent="0.25">
      <c r="A30" t="s">
        <v>90</v>
      </c>
      <c r="B30" t="s">
        <v>242</v>
      </c>
      <c r="C30" cm="1">
        <f t="array" ref="C30">[25]!NETVOLUME3862909776</f>
        <v>0</v>
      </c>
      <c r="D30" cm="1">
        <f t="array" ref="D30">[25]!LONGPOSITION3862909776</f>
        <v>0</v>
      </c>
      <c r="E30" cm="1">
        <f t="array" ref="E30">[25]!SHORTPOSITION3862909776</f>
        <v>0</v>
      </c>
      <c r="F30" cm="1">
        <f t="array" ref="F30">[25]!MTMPL3862909776</f>
        <v>0</v>
      </c>
      <c r="G30" cm="1">
        <f t="array" ref="G30">[25]!LASTPRICE</f>
        <v>5998</v>
      </c>
      <c r="H30" cm="1">
        <f t="array" ref="H30">[25]!NETCHANGE</f>
        <v>126</v>
      </c>
      <c r="I30" t="str" cm="1">
        <f t="array" ref="I30">[25]!NETCHANGERATE</f>
        <v>+2.15%</v>
      </c>
      <c r="J30" cm="1">
        <f t="array" ref="J30">[25]!BIDVOLUME1</f>
        <v>117</v>
      </c>
      <c r="K30" cm="1">
        <f t="array" ref="K30">[25]!BIDPRICE1</f>
        <v>5998</v>
      </c>
      <c r="L30" cm="1">
        <f t="array" ref="L30">[25]!ASKPRICE1</f>
        <v>6000</v>
      </c>
      <c r="M30" cm="1">
        <f t="array" ref="M30">[25]!ASKVOLUME1</f>
        <v>68</v>
      </c>
      <c r="N30" cm="1">
        <f t="array" ref="N30">[25]!OPENPRICE</f>
        <v>5976</v>
      </c>
      <c r="O30" cm="1">
        <f t="array" ref="O30">[25]!HIGH</f>
        <v>6046</v>
      </c>
      <c r="P30" cm="1">
        <f t="array" ref="P30">[25]!LOW</f>
        <v>5954</v>
      </c>
      <c r="Q30" cm="1">
        <f t="array" ref="Q30">[25]!TRADEVOLUME</f>
        <v>196778</v>
      </c>
      <c r="R30" cm="1">
        <f t="array" ref="R30">[25]!POSIVOL</f>
        <v>372766</v>
      </c>
      <c r="S30" cm="1">
        <f t="array" ref="S30">[25]!POSIVOLCHANGE</f>
        <v>0</v>
      </c>
      <c r="T30" cm="1">
        <f t="array" ref="T30">[25]!POSIVOLCHANGEDAILY</f>
        <v>-18215</v>
      </c>
      <c r="U30" t="str" cm="1">
        <f t="array" ref="U30">[25]!INST_STATE</f>
        <v>连续交易</v>
      </c>
      <c r="V30" t="str" cm="1">
        <f t="array" ref="V30">[25]!UPDATETIME</f>
        <v>09:51:31.000</v>
      </c>
      <c r="W30" cm="1">
        <f t="array" ref="W30">[25]!UPPERLIMITPRICE</f>
        <v>6284</v>
      </c>
      <c r="X30" cm="1">
        <f t="array" ref="X30">[25]!LOWERLIMITPRICE</f>
        <v>5460</v>
      </c>
      <c r="Y30" t="e" cm="1">
        <f t="array" ref="Y30">[25]!CLOSEPRICE</f>
        <v>#N/A</v>
      </c>
      <c r="Z30" t="e" cm="1">
        <f t="array" ref="Z30">[25]!SETTLEPRICE</f>
        <v>#N/A</v>
      </c>
      <c r="AA30" cm="1">
        <f t="array" ref="AA30">[25]!PRECLOSE</f>
        <v>5876</v>
      </c>
      <c r="AB30" cm="1">
        <f t="array" ref="AB30">[25]!PRESETTLEPRICE</f>
        <v>5872</v>
      </c>
      <c r="AC30" t="s">
        <v>41</v>
      </c>
      <c r="AD30" t="s">
        <v>91</v>
      </c>
      <c r="AE30">
        <v>5</v>
      </c>
      <c r="AF30">
        <v>20260714</v>
      </c>
      <c r="AG30" t="e" cm="1">
        <f t="array" ref="AG30">[25]!MARGIN</f>
        <v>#N/A</v>
      </c>
      <c r="AH30" t="e" cm="1">
        <f t="array" ref="AH30">[25]!FEE</f>
        <v>#N/A</v>
      </c>
      <c r="AI30" t="s">
        <v>210</v>
      </c>
      <c r="AJ30" cm="1">
        <f t="array" ref="AJ30">[25]!IMPLYBIDVOLUME1</f>
        <v>0</v>
      </c>
      <c r="AK30" t="e" cm="1">
        <f t="array" ref="AK30">[25]!IMPLYBIDPRICE1</f>
        <v>#N/A</v>
      </c>
      <c r="AL30" t="e" cm="1">
        <f t="array" ref="AL30">[25]!IMPLYASKPRICE1</f>
        <v>#N/A</v>
      </c>
      <c r="AM30" cm="1">
        <f t="array" ref="AM30">[25]!IMPLYASKVOLUME1</f>
        <v>0</v>
      </c>
      <c r="AN30" cm="1">
        <f t="array" ref="AN30">[25]!VOLUMEBIDLOT</f>
        <v>0</v>
      </c>
      <c r="AO30" cm="1">
        <f t="array" ref="AO30">[25]!VOLUMEASKLOT</f>
        <v>0</v>
      </c>
    </row>
    <row r="31" spans="1:41" x14ac:dyDescent="0.25">
      <c r="A31" t="s">
        <v>92</v>
      </c>
      <c r="B31" t="s">
        <v>243</v>
      </c>
      <c r="C31" cm="1">
        <f t="array" ref="C31">[26]!NETVOLUME3862909776</f>
        <v>0</v>
      </c>
      <c r="D31" cm="1">
        <f t="array" ref="D31">[26]!LONGPOSITION3862909776</f>
        <v>0</v>
      </c>
      <c r="E31" cm="1">
        <f t="array" ref="E31">[26]!SHORTPOSITION3862909776</f>
        <v>0</v>
      </c>
      <c r="F31" cm="1">
        <f t="array" ref="F31">[26]!MTMPL3862909776</f>
        <v>0</v>
      </c>
      <c r="G31" cm="1">
        <f t="array" ref="G31">[26]!LASTPRICE</f>
        <v>5367</v>
      </c>
      <c r="H31" cm="1">
        <f t="array" ref="H31">[26]!NETCHANGE</f>
        <v>-4</v>
      </c>
      <c r="I31" t="str" cm="1">
        <f t="array" ref="I31">[26]!NETCHANGERATE</f>
        <v>-0.07%</v>
      </c>
      <c r="J31" cm="1">
        <f t="array" ref="J31">[26]!BIDVOLUME1</f>
        <v>314</v>
      </c>
      <c r="K31" cm="1">
        <f t="array" ref="K31">[26]!BIDPRICE1</f>
        <v>5366</v>
      </c>
      <c r="L31" cm="1">
        <f t="array" ref="L31">[26]!ASKPRICE1</f>
        <v>5367</v>
      </c>
      <c r="M31" cm="1">
        <f t="array" ref="M31">[26]!ASKVOLUME1</f>
        <v>89</v>
      </c>
      <c r="N31" cm="1">
        <f t="array" ref="N31">[26]!OPENPRICE</f>
        <v>5357</v>
      </c>
      <c r="O31" cm="1">
        <f t="array" ref="O31">[26]!HIGH</f>
        <v>5378</v>
      </c>
      <c r="P31" cm="1">
        <f t="array" ref="P31">[26]!LOW</f>
        <v>5349</v>
      </c>
      <c r="Q31" cm="1">
        <f t="array" ref="Q31">[26]!TRADEVOLUME</f>
        <v>196953</v>
      </c>
      <c r="R31" cm="1">
        <f t="array" ref="R31">[26]!POSIVOL</f>
        <v>664046</v>
      </c>
      <c r="S31" cm="1">
        <f t="array" ref="S31">[26]!POSIVOLCHANGE</f>
        <v>0</v>
      </c>
      <c r="T31" cm="1">
        <f t="array" ref="T31">[26]!POSIVOLCHANGEDAILY</f>
        <v>13371</v>
      </c>
      <c r="U31" t="str" cm="1">
        <f t="array" ref="U31">[26]!INST_STATE</f>
        <v>连续交易</v>
      </c>
      <c r="V31" t="str" cm="1">
        <f t="array" ref="V31">[26]!UPDATETIME</f>
        <v>09:51:31.000</v>
      </c>
      <c r="W31" cm="1">
        <f t="array" ref="W31">[26]!UPPERLIMITPRICE</f>
        <v>5640</v>
      </c>
      <c r="X31" cm="1">
        <f t="array" ref="X31">[26]!LOWERLIMITPRICE</f>
        <v>5102</v>
      </c>
      <c r="Y31" t="e" cm="1">
        <f t="array" ref="Y31">[26]!CLOSEPRICE</f>
        <v>#N/A</v>
      </c>
      <c r="Z31" cm="1">
        <f t="array" ref="Z31">[26]!SETTLEPRICE</f>
        <v>5359</v>
      </c>
      <c r="AA31" cm="1">
        <f t="array" ref="AA31">[26]!PRECLOSE</f>
        <v>5368</v>
      </c>
      <c r="AB31" cm="1">
        <f t="array" ref="AB31">[26]!PRESETTLEPRICE</f>
        <v>5371</v>
      </c>
      <c r="AC31" t="s">
        <v>41</v>
      </c>
      <c r="AD31" t="s">
        <v>93</v>
      </c>
      <c r="AE31">
        <v>10</v>
      </c>
      <c r="AF31">
        <v>20260914</v>
      </c>
      <c r="AG31" t="e" cm="1">
        <f t="array" ref="AG31">[26]!MARGIN</f>
        <v>#N/A</v>
      </c>
      <c r="AH31" t="e" cm="1">
        <f t="array" ref="AH31">[26]!FEE</f>
        <v>#N/A</v>
      </c>
      <c r="AI31" t="s">
        <v>210</v>
      </c>
      <c r="AJ31" cm="1">
        <f t="array" ref="AJ31">[26]!IMPLYBIDVOLUME1</f>
        <v>0</v>
      </c>
      <c r="AK31" t="e" cm="1">
        <f t="array" ref="AK31">[26]!IMPLYBIDPRICE1</f>
        <v>#N/A</v>
      </c>
      <c r="AL31" t="e" cm="1">
        <f t="array" ref="AL31">[26]!IMPLYASKPRICE1</f>
        <v>#N/A</v>
      </c>
      <c r="AM31" cm="1">
        <f t="array" ref="AM31">[26]!IMPLYASKVOLUME1</f>
        <v>0</v>
      </c>
      <c r="AN31" cm="1">
        <f t="array" ref="AN31">[26]!VOLUMEBIDLOT</f>
        <v>0</v>
      </c>
      <c r="AO31" cm="1">
        <f t="array" ref="AO31">[26]!VOLUMEASKLOT</f>
        <v>0</v>
      </c>
    </row>
    <row r="32" spans="1:41" x14ac:dyDescent="0.25">
      <c r="A32" t="s">
        <v>95</v>
      </c>
      <c r="B32" t="s">
        <v>244</v>
      </c>
      <c r="C32" cm="1">
        <f t="array" ref="C32">[27]!NETVOLUME3862909776</f>
        <v>0</v>
      </c>
      <c r="D32" cm="1">
        <f t="array" ref="D32">[27]!LONGPOSITION3862909776</f>
        <v>0</v>
      </c>
      <c r="E32" cm="1">
        <f t="array" ref="E32">[27]!SHORTPOSITION3862909776</f>
        <v>0</v>
      </c>
      <c r="F32" cm="1">
        <f t="array" ref="F32">[27]!MTMPL3862909776</f>
        <v>0</v>
      </c>
      <c r="G32" cm="1">
        <f t="array" ref="G32">[27]!LASTPRICE</f>
        <v>6032</v>
      </c>
      <c r="H32" cm="1">
        <f t="array" ref="H32">[27]!NETCHANGE</f>
        <v>-180</v>
      </c>
      <c r="I32" t="str" cm="1">
        <f t="array" ref="I32">[27]!NETCHANGERATE</f>
        <v>-2.90%</v>
      </c>
      <c r="J32" cm="1">
        <f t="array" ref="J32">[27]!BIDVOLUME1</f>
        <v>53</v>
      </c>
      <c r="K32" cm="1">
        <f t="array" ref="K32">[27]!BIDPRICE1</f>
        <v>6032</v>
      </c>
      <c r="L32" cm="1">
        <f t="array" ref="L32">[27]!ASKPRICE1</f>
        <v>6034</v>
      </c>
      <c r="M32" cm="1">
        <f t="array" ref="M32">[27]!ASKVOLUME1</f>
        <v>256</v>
      </c>
      <c r="N32" cm="1">
        <f t="array" ref="N32">[27]!OPENPRICE</f>
        <v>6096</v>
      </c>
      <c r="O32" cm="1">
        <f t="array" ref="O32">[27]!HIGH</f>
        <v>6160</v>
      </c>
      <c r="P32" cm="1">
        <f t="array" ref="P32">[27]!LOW</f>
        <v>6014</v>
      </c>
      <c r="Q32" cm="1">
        <f t="array" ref="Q32">[27]!TRADEVOLUME</f>
        <v>665614</v>
      </c>
      <c r="R32" cm="1">
        <f t="array" ref="R32">[27]!POSIVOL</f>
        <v>1141272</v>
      </c>
      <c r="S32" cm="1">
        <f t="array" ref="S32">[27]!POSIVOLCHANGE</f>
        <v>0</v>
      </c>
      <c r="T32" cm="1">
        <f t="array" ref="T32">[27]!POSIVOLCHANGEDAILY</f>
        <v>4494</v>
      </c>
      <c r="U32" t="str" cm="1">
        <f t="array" ref="U32">[27]!INST_STATE</f>
        <v>连续交易</v>
      </c>
      <c r="V32" t="str" cm="1">
        <f t="array" ref="V32">[27]!UPDATETIME</f>
        <v>09:51:31.000</v>
      </c>
      <c r="W32" cm="1">
        <f t="array" ref="W32">[27]!UPPERLIMITPRICE</f>
        <v>6896</v>
      </c>
      <c r="X32" cm="1">
        <f t="array" ref="X32">[27]!LOWERLIMITPRICE</f>
        <v>5528</v>
      </c>
      <c r="Y32" t="e" cm="1">
        <f t="array" ref="Y32">[27]!CLOSEPRICE</f>
        <v>#N/A</v>
      </c>
      <c r="Z32" cm="1">
        <f t="array" ref="Z32">[27]!SETTLEPRICE</f>
        <v>6122</v>
      </c>
      <c r="AA32" cm="1">
        <f t="array" ref="AA32">[27]!PRECLOSE</f>
        <v>6136</v>
      </c>
      <c r="AB32" cm="1">
        <f t="array" ref="AB32">[27]!PRESETTLEPRICE</f>
        <v>6212</v>
      </c>
      <c r="AC32" t="s">
        <v>41</v>
      </c>
      <c r="AD32" t="s">
        <v>96</v>
      </c>
      <c r="AE32">
        <v>5</v>
      </c>
      <c r="AF32">
        <v>20260914</v>
      </c>
      <c r="AG32" t="e" cm="1">
        <f t="array" ref="AG32">[27]!MARGIN</f>
        <v>#N/A</v>
      </c>
      <c r="AH32" t="e" cm="1">
        <f t="array" ref="AH32">[27]!FEE</f>
        <v>#N/A</v>
      </c>
      <c r="AI32" t="s">
        <v>210</v>
      </c>
      <c r="AJ32" cm="1">
        <f t="array" ref="AJ32">[27]!IMPLYBIDVOLUME1</f>
        <v>0</v>
      </c>
      <c r="AK32" t="e" cm="1">
        <f t="array" ref="AK32">[27]!IMPLYBIDPRICE1</f>
        <v>#N/A</v>
      </c>
      <c r="AL32" t="e" cm="1">
        <f t="array" ref="AL32">[27]!IMPLYASKPRICE1</f>
        <v>#N/A</v>
      </c>
      <c r="AM32" cm="1">
        <f t="array" ref="AM32">[27]!IMPLYASKVOLUME1</f>
        <v>0</v>
      </c>
      <c r="AN32" cm="1">
        <f t="array" ref="AN32">[27]!VOLUMEBIDLOT</f>
        <v>0</v>
      </c>
      <c r="AO32" cm="1">
        <f t="array" ref="AO32">[27]!VOLUMEASKLOT</f>
        <v>0</v>
      </c>
    </row>
    <row r="33" spans="1:41" x14ac:dyDescent="0.25">
      <c r="A33" t="s">
        <v>100</v>
      </c>
      <c r="B33" t="s">
        <v>245</v>
      </c>
      <c r="C33" cm="1">
        <f t="array" ref="C33">[28]!NETVOLUME3862909776</f>
        <v>0</v>
      </c>
      <c r="D33" cm="1">
        <f t="array" ref="D33">[28]!LONGPOSITION3862909776</f>
        <v>0</v>
      </c>
      <c r="E33" cm="1">
        <f t="array" ref="E33">[28]!SHORTPOSITION3862909776</f>
        <v>0</v>
      </c>
      <c r="F33" cm="1">
        <f t="array" ref="F33">[28]!MTMPL3862909776</f>
        <v>0</v>
      </c>
      <c r="G33" cm="1">
        <f t="array" ref="G33">[28]!LASTPRICE</f>
        <v>1846</v>
      </c>
      <c r="H33" cm="1">
        <f t="array" ref="H33">[28]!NETCHANGE</f>
        <v>20</v>
      </c>
      <c r="I33" t="str" cm="1">
        <f t="array" ref="I33">[28]!NETCHANGERATE</f>
        <v>+1.10%</v>
      </c>
      <c r="J33" cm="1">
        <f t="array" ref="J33">[28]!BIDVOLUME1</f>
        <v>228</v>
      </c>
      <c r="K33" cm="1">
        <f t="array" ref="K33">[28]!BIDPRICE1</f>
        <v>1845</v>
      </c>
      <c r="L33" cm="1">
        <f t="array" ref="L33">[28]!ASKPRICE1</f>
        <v>1846</v>
      </c>
      <c r="M33" cm="1">
        <f t="array" ref="M33">[28]!ASKVOLUME1</f>
        <v>139</v>
      </c>
      <c r="N33" cm="1">
        <f t="array" ref="N33">[28]!OPENPRICE</f>
        <v>1860</v>
      </c>
      <c r="O33" cm="1">
        <f t="array" ref="O33">[28]!HIGH</f>
        <v>1862</v>
      </c>
      <c r="P33" cm="1">
        <f t="array" ref="P33">[28]!LOW</f>
        <v>1840</v>
      </c>
      <c r="Q33" cm="1">
        <f t="array" ref="Q33">[28]!TRADEVOLUME</f>
        <v>134870</v>
      </c>
      <c r="R33" cm="1">
        <f t="array" ref="R33">[28]!POSIVOL</f>
        <v>333752</v>
      </c>
      <c r="S33" cm="1">
        <f t="array" ref="S33">[28]!POSIVOLCHANGE</f>
        <v>0</v>
      </c>
      <c r="T33" cm="1">
        <f t="array" ref="T33">[28]!POSIVOLCHANGEDAILY</f>
        <v>7115</v>
      </c>
      <c r="U33" t="str" cm="1">
        <f t="array" ref="U33">[28]!INST_STATE</f>
        <v>连续交易</v>
      </c>
      <c r="V33" t="str" cm="1">
        <f t="array" ref="V33">[28]!UPDATETIME</f>
        <v>09:51:31.000</v>
      </c>
      <c r="W33" cm="1">
        <f t="array" ref="W33">[28]!UPPERLIMITPRICE</f>
        <v>1954</v>
      </c>
      <c r="X33" cm="1">
        <f t="array" ref="X33">[28]!LOWERLIMITPRICE</f>
        <v>1698</v>
      </c>
      <c r="Y33" t="e" cm="1">
        <f t="array" ref="Y33">[28]!CLOSEPRICE</f>
        <v>#N/A</v>
      </c>
      <c r="Z33" t="e" cm="1">
        <f t="array" ref="Z33">[28]!SETTLEPRICE</f>
        <v>#N/A</v>
      </c>
      <c r="AA33" cm="1">
        <f t="array" ref="AA33">[28]!PRECLOSE</f>
        <v>1826</v>
      </c>
      <c r="AB33" cm="1">
        <f t="array" ref="AB33">[28]!PRESETTLEPRICE</f>
        <v>1826</v>
      </c>
      <c r="AC33" t="s">
        <v>41</v>
      </c>
      <c r="AD33" t="s">
        <v>101</v>
      </c>
      <c r="AE33">
        <v>20</v>
      </c>
      <c r="AF33">
        <v>20260914</v>
      </c>
      <c r="AG33" t="e" cm="1">
        <f t="array" ref="AG33">[28]!MARGIN</f>
        <v>#N/A</v>
      </c>
      <c r="AH33" t="e" cm="1">
        <f t="array" ref="AH33">[28]!FEE</f>
        <v>#N/A</v>
      </c>
      <c r="AI33" t="s">
        <v>210</v>
      </c>
      <c r="AJ33" cm="1">
        <f t="array" ref="AJ33">[28]!IMPLYBIDVOLUME1</f>
        <v>0</v>
      </c>
      <c r="AK33" t="e" cm="1">
        <f t="array" ref="AK33">[28]!IMPLYBIDPRICE1</f>
        <v>#N/A</v>
      </c>
      <c r="AL33" t="e" cm="1">
        <f t="array" ref="AL33">[28]!IMPLYASKPRICE1</f>
        <v>#N/A</v>
      </c>
      <c r="AM33" cm="1">
        <f t="array" ref="AM33">[28]!IMPLYASKVOLUME1</f>
        <v>0</v>
      </c>
      <c r="AN33" cm="1">
        <f t="array" ref="AN33">[28]!VOLUMEBIDLOT</f>
        <v>0</v>
      </c>
      <c r="AO33" cm="1">
        <f t="array" ref="AO33">[28]!VOLUMEASKLOT</f>
        <v>0</v>
      </c>
    </row>
    <row r="34" spans="1:41" x14ac:dyDescent="0.25">
      <c r="A34" t="s">
        <v>102</v>
      </c>
      <c r="B34" t="s">
        <v>246</v>
      </c>
      <c r="C34" cm="1">
        <f t="array" ref="C34">[29]!NETVOLUME3862909776</f>
        <v>0</v>
      </c>
      <c r="D34" cm="1">
        <f t="array" ref="D34">[29]!LONGPOSITION3862909776</f>
        <v>0</v>
      </c>
      <c r="E34" cm="1">
        <f t="array" ref="E34">[29]!SHORTPOSITION3862909776</f>
        <v>0</v>
      </c>
      <c r="F34" cm="1">
        <f t="array" ref="F34">[29]!MTMPL3862909776</f>
        <v>0</v>
      </c>
      <c r="G34" cm="1">
        <f t="array" ref="G34">[29]!LASTPRICE</f>
        <v>3198</v>
      </c>
      <c r="H34" t="e" cm="1">
        <f t="array" ref="H34">[29]!NETCHANGE</f>
        <v>#N/A</v>
      </c>
      <c r="I34" t="e" cm="1">
        <f t="array" ref="I34">[29]!NETCHANGERATE</f>
        <v>#N/A</v>
      </c>
      <c r="J34" cm="1">
        <f t="array" ref="J34">[29]!BIDVOLUME1</f>
        <v>0</v>
      </c>
      <c r="K34" t="e" cm="1">
        <f t="array" ref="K34">[29]!BIDPRICE1</f>
        <v>#N/A</v>
      </c>
      <c r="L34" t="e" cm="1">
        <f t="array" ref="L34">[29]!ASKPRICE1</f>
        <v>#N/A</v>
      </c>
      <c r="M34" cm="1">
        <f t="array" ref="M34">[29]!ASKVOLUME1</f>
        <v>0</v>
      </c>
      <c r="N34" t="e" cm="1">
        <f t="array" ref="N34">[29]!OPENPRICE</f>
        <v>#N/A</v>
      </c>
      <c r="O34" t="e" cm="1">
        <f t="array" ref="O34">[29]!HIGH</f>
        <v>#N/A</v>
      </c>
      <c r="P34" t="e" cm="1">
        <f t="array" ref="P34">[29]!LOW</f>
        <v>#N/A</v>
      </c>
      <c r="Q34" cm="1">
        <f t="array" ref="Q34">[29]!TRADEVOLUME</f>
        <v>0</v>
      </c>
      <c r="R34" cm="1">
        <f t="array" ref="R34">[29]!POSIVOL</f>
        <v>0</v>
      </c>
      <c r="S34" t="e" cm="1">
        <f t="array" ref="S34">[29]!POSIVOLCHANGE</f>
        <v>#N/A</v>
      </c>
      <c r="T34" cm="1">
        <f t="array" ref="T34">[29]!POSIVOLCHANGEDAILY</f>
        <v>0</v>
      </c>
      <c r="U34" t="e" cm="1">
        <f t="array" ref="U34">[29]!INST_STATE</f>
        <v>#N/A</v>
      </c>
      <c r="V34" t="str" cm="1">
        <f t="array" ref="V34">[29]!UPDATETIME</f>
        <v>19:05:50.000</v>
      </c>
      <c r="W34" t="e" cm="1">
        <f t="array" ref="W34">[29]!UPPERLIMITPRICE</f>
        <v>#N/A</v>
      </c>
      <c r="X34" t="e" cm="1">
        <f t="array" ref="X34">[29]!LOWERLIMITPRICE</f>
        <v>#N/A</v>
      </c>
      <c r="Y34" t="e" cm="1">
        <f t="array" ref="Y34">[29]!CLOSEPRICE</f>
        <v>#N/A</v>
      </c>
      <c r="Z34" t="e" cm="1">
        <f t="array" ref="Z34">[29]!SETTLEPRICE</f>
        <v>#N/A</v>
      </c>
      <c r="AA34" cm="1">
        <f t="array" ref="AA34">[29]!PRECLOSE</f>
        <v>3198</v>
      </c>
      <c r="AB34" cm="1">
        <f t="array" ref="AB34">[29]!PRESETTLEPRICE</f>
        <v>3198</v>
      </c>
      <c r="AC34" t="s">
        <v>41</v>
      </c>
      <c r="AD34" t="s">
        <v>103</v>
      </c>
      <c r="AE34">
        <v>20</v>
      </c>
      <c r="AF34">
        <v>20270514</v>
      </c>
      <c r="AG34" t="e" cm="1">
        <f t="array" ref="AG34">[29]!MARGIN</f>
        <v>#N/A</v>
      </c>
      <c r="AH34" t="e" cm="1">
        <f t="array" ref="AH34">[29]!FEE</f>
        <v>#N/A</v>
      </c>
      <c r="AI34" t="s">
        <v>210</v>
      </c>
      <c r="AJ34" cm="1">
        <f t="array" ref="AJ34">[29]!IMPLYBIDVOLUME1</f>
        <v>0</v>
      </c>
      <c r="AK34" t="e" cm="1">
        <f t="array" ref="AK34">[29]!IMPLYBIDPRICE1</f>
        <v>#N/A</v>
      </c>
      <c r="AL34" t="e" cm="1">
        <f t="array" ref="AL34">[29]!IMPLYASKPRICE1</f>
        <v>#N/A</v>
      </c>
      <c r="AM34" cm="1">
        <f t="array" ref="AM34">[29]!IMPLYASKVOLUME1</f>
        <v>0</v>
      </c>
      <c r="AN34" cm="1">
        <f t="array" ref="AN34">[29]!VOLUMEBIDLOT</f>
        <v>0</v>
      </c>
      <c r="AO34" cm="1">
        <f t="array" ref="AO34">[29]!VOLUMEASKLOT</f>
        <v>0</v>
      </c>
    </row>
    <row r="35" spans="1:41" x14ac:dyDescent="0.25">
      <c r="A35" t="s">
        <v>104</v>
      </c>
      <c r="B35" t="s">
        <v>247</v>
      </c>
      <c r="C35" cm="1">
        <f t="array" ref="C35">[30]!NETVOLUME3862909776</f>
        <v>0</v>
      </c>
      <c r="D35" cm="1">
        <f t="array" ref="D35">[30]!LONGPOSITION3862909776</f>
        <v>0</v>
      </c>
      <c r="E35" cm="1">
        <f t="array" ref="E35">[30]!SHORTPOSITION3862909776</f>
        <v>0</v>
      </c>
      <c r="F35" cm="1">
        <f t="array" ref="F35">[30]!MTMPL3862909776</f>
        <v>0</v>
      </c>
      <c r="G35" cm="1">
        <f t="array" ref="G35">[30]!LASTPRICE</f>
        <v>801.4</v>
      </c>
      <c r="H35" t="e" cm="1">
        <f t="array" ref="H35">[30]!NETCHANGE</f>
        <v>#N/A</v>
      </c>
      <c r="I35" t="e" cm="1">
        <f t="array" ref="I35">[30]!NETCHANGERATE</f>
        <v>#N/A</v>
      </c>
      <c r="J35" cm="1">
        <f t="array" ref="J35">[30]!BIDVOLUME1</f>
        <v>0</v>
      </c>
      <c r="K35" t="e" cm="1">
        <f t="array" ref="K35">[30]!BIDPRICE1</f>
        <v>#N/A</v>
      </c>
      <c r="L35" t="e" cm="1">
        <f t="array" ref="L35">[30]!ASKPRICE1</f>
        <v>#N/A</v>
      </c>
      <c r="M35" cm="1">
        <f t="array" ref="M35">[30]!ASKVOLUME1</f>
        <v>0</v>
      </c>
      <c r="N35" t="e" cm="1">
        <f t="array" ref="N35">[30]!OPENPRICE</f>
        <v>#N/A</v>
      </c>
      <c r="O35" t="e" cm="1">
        <f t="array" ref="O35">[30]!HIGH</f>
        <v>#N/A</v>
      </c>
      <c r="P35" t="e" cm="1">
        <f t="array" ref="P35">[30]!LOW</f>
        <v>#N/A</v>
      </c>
      <c r="Q35" cm="1">
        <f t="array" ref="Q35">[30]!TRADEVOLUME</f>
        <v>0</v>
      </c>
      <c r="R35" cm="1">
        <f t="array" ref="R35">[30]!POSIVOL</f>
        <v>0</v>
      </c>
      <c r="S35" t="e" cm="1">
        <f t="array" ref="S35">[30]!POSIVOLCHANGE</f>
        <v>#N/A</v>
      </c>
      <c r="T35" cm="1">
        <f t="array" ref="T35">[30]!POSIVOLCHANGEDAILY</f>
        <v>0</v>
      </c>
      <c r="U35" t="e" cm="1">
        <f t="array" ref="U35">[30]!INST_STATE</f>
        <v>#N/A</v>
      </c>
      <c r="V35" t="str" cm="1">
        <f t="array" ref="V35">[30]!UPDATETIME</f>
        <v>19:05:50.000</v>
      </c>
      <c r="W35" t="e" cm="1">
        <f t="array" ref="W35">[30]!UPPERLIMITPRICE</f>
        <v>#N/A</v>
      </c>
      <c r="X35" t="e" cm="1">
        <f t="array" ref="X35">[30]!LOWERLIMITPRICE</f>
        <v>#N/A</v>
      </c>
      <c r="Y35" t="e" cm="1">
        <f t="array" ref="Y35">[30]!CLOSEPRICE</f>
        <v>#N/A</v>
      </c>
      <c r="Z35" t="e" cm="1">
        <f t="array" ref="Z35">[30]!SETTLEPRICE</f>
        <v>#N/A</v>
      </c>
      <c r="AA35" cm="1">
        <f t="array" ref="AA35">[30]!PRECLOSE</f>
        <v>801.4</v>
      </c>
      <c r="AB35" cm="1">
        <f t="array" ref="AB35">[30]!PRESETTLEPRICE</f>
        <v>801.4</v>
      </c>
      <c r="AC35" t="s">
        <v>41</v>
      </c>
      <c r="AD35" t="s">
        <v>105</v>
      </c>
      <c r="AE35">
        <v>100</v>
      </c>
      <c r="AF35">
        <v>20270507</v>
      </c>
      <c r="AG35" t="e" cm="1">
        <f t="array" ref="AG35">[30]!MARGIN</f>
        <v>#N/A</v>
      </c>
      <c r="AH35" t="e" cm="1">
        <f t="array" ref="AH35">[30]!FEE</f>
        <v>#N/A</v>
      </c>
      <c r="AI35" t="s">
        <v>210</v>
      </c>
      <c r="AJ35" cm="1">
        <f t="array" ref="AJ35">[30]!IMPLYBIDVOLUME1</f>
        <v>0</v>
      </c>
      <c r="AK35" t="e" cm="1">
        <f t="array" ref="AK35">[30]!IMPLYBIDPRICE1</f>
        <v>#N/A</v>
      </c>
      <c r="AL35" t="e" cm="1">
        <f t="array" ref="AL35">[30]!IMPLYASKPRICE1</f>
        <v>#N/A</v>
      </c>
      <c r="AM35" cm="1">
        <f t="array" ref="AM35">[30]!IMPLYASKVOLUME1</f>
        <v>0</v>
      </c>
      <c r="AN35" cm="1">
        <f t="array" ref="AN35">[30]!VOLUMEBIDLOT</f>
        <v>0</v>
      </c>
      <c r="AO35" cm="1">
        <f t="array" ref="AO35">[30]!VOLUMEASKLOT</f>
        <v>0</v>
      </c>
    </row>
    <row r="36" spans="1:41" x14ac:dyDescent="0.25">
      <c r="A36" t="s">
        <v>106</v>
      </c>
      <c r="B36" t="s">
        <v>248</v>
      </c>
      <c r="C36" cm="1">
        <f t="array" ref="C36">[31]!NETVOLUME3862909776</f>
        <v>0</v>
      </c>
      <c r="D36" cm="1">
        <f t="array" ref="D36">[31]!LONGPOSITION3862909776</f>
        <v>0</v>
      </c>
      <c r="E36" cm="1">
        <f t="array" ref="E36">[31]!SHORTPOSITION3862909776</f>
        <v>0</v>
      </c>
      <c r="F36" cm="1">
        <f t="array" ref="F36">[31]!MTMPL3862909776</f>
        <v>0</v>
      </c>
      <c r="G36" cm="1">
        <f t="array" ref="G36">[31]!LASTPRICE</f>
        <v>4886</v>
      </c>
      <c r="H36" cm="1">
        <f t="array" ref="H36">[31]!NETCHANGE</f>
        <v>133</v>
      </c>
      <c r="I36" t="str" cm="1">
        <f t="array" ref="I36">[31]!NETCHANGERATE</f>
        <v>+2.80%</v>
      </c>
      <c r="J36" cm="1">
        <f t="array" ref="J36">[31]!BIDVOLUME1</f>
        <v>146</v>
      </c>
      <c r="K36" cm="1">
        <f t="array" ref="K36">[31]!BIDPRICE1</f>
        <v>4885</v>
      </c>
      <c r="L36" cm="1">
        <f t="array" ref="L36">[31]!ASKPRICE1</f>
        <v>4886</v>
      </c>
      <c r="M36" cm="1">
        <f t="array" ref="M36">[31]!ASKVOLUME1</f>
        <v>107</v>
      </c>
      <c r="N36" cm="1">
        <f t="array" ref="N36">[31]!OPENPRICE</f>
        <v>4780</v>
      </c>
      <c r="O36" cm="1">
        <f t="array" ref="O36">[31]!HIGH</f>
        <v>4888</v>
      </c>
      <c r="P36" cm="1">
        <f t="array" ref="P36">[31]!LOW</f>
        <v>4770</v>
      </c>
      <c r="Q36" cm="1">
        <f t="array" ref="Q36">[31]!TRADEVOLUME</f>
        <v>369323</v>
      </c>
      <c r="R36" cm="1">
        <f t="array" ref="R36">[31]!POSIVOL</f>
        <v>301696</v>
      </c>
      <c r="S36" cm="1">
        <f t="array" ref="S36">[31]!POSIVOLCHANGE</f>
        <v>0</v>
      </c>
      <c r="T36" cm="1">
        <f t="array" ref="T36">[31]!POSIVOLCHANGEDAILY</f>
        <v>14190</v>
      </c>
      <c r="U36" t="str" cm="1">
        <f t="array" ref="U36">[31]!INST_STATE</f>
        <v>连续交易</v>
      </c>
      <c r="V36" t="str" cm="1">
        <f t="array" ref="V36">[31]!UPDATETIME</f>
        <v>09:51:32.257</v>
      </c>
      <c r="W36" cm="1">
        <f t="array" ref="W36">[31]!UPPERLIMITPRICE</f>
        <v>5038</v>
      </c>
      <c r="X36" cm="1">
        <f t="array" ref="X36">[31]!LOWERLIMITPRICE</f>
        <v>4468</v>
      </c>
      <c r="Y36" t="e" cm="1">
        <f t="array" ref="Y36">[31]!CLOSEPRICE</f>
        <v>#N/A</v>
      </c>
      <c r="Z36" t="e" cm="1">
        <f t="array" ref="Z36">[31]!SETTLEPRICE</f>
        <v>#N/A</v>
      </c>
      <c r="AA36" cm="1">
        <f t="array" ref="AA36">[31]!PRECLOSE</f>
        <v>4784</v>
      </c>
      <c r="AB36" cm="1">
        <f t="array" ref="AB36">[31]!PRESETTLEPRICE</f>
        <v>4753</v>
      </c>
      <c r="AC36" t="s">
        <v>107</v>
      </c>
      <c r="AD36" t="s">
        <v>108</v>
      </c>
      <c r="AE36">
        <v>10</v>
      </c>
      <c r="AF36">
        <v>20260714</v>
      </c>
      <c r="AG36" t="e" cm="1">
        <f t="array" ref="AG36">[31]!MARGIN</f>
        <v>#N/A</v>
      </c>
      <c r="AH36" t="e" cm="1">
        <f t="array" ref="AH36">[31]!FEE</f>
        <v>#N/A</v>
      </c>
      <c r="AI36" t="s">
        <v>210</v>
      </c>
      <c r="AJ36" cm="1">
        <f t="array" ref="AJ36">[31]!IMPLYBIDVOLUME1</f>
        <v>0</v>
      </c>
      <c r="AK36" t="e" cm="1">
        <f t="array" ref="AK36">[31]!IMPLYBIDPRICE1</f>
        <v>#N/A</v>
      </c>
      <c r="AL36" t="e" cm="1">
        <f t="array" ref="AL36">[31]!IMPLYASKPRICE1</f>
        <v>#N/A</v>
      </c>
      <c r="AM36" cm="1">
        <f t="array" ref="AM36">[31]!IMPLYASKVOLUME1</f>
        <v>0</v>
      </c>
      <c r="AN36" cm="1">
        <f t="array" ref="AN36">[31]!VOLUMEBIDLOT</f>
        <v>0</v>
      </c>
      <c r="AO36" cm="1">
        <f t="array" ref="AO36">[31]!VOLUMEASKLOT</f>
        <v>0</v>
      </c>
    </row>
    <row r="37" spans="1:41" x14ac:dyDescent="0.25">
      <c r="A37" t="s">
        <v>119</v>
      </c>
      <c r="B37" t="s">
        <v>249</v>
      </c>
      <c r="C37" cm="1">
        <f t="array" ref="C37">[36]!NETVOLUME3862909776</f>
        <v>0</v>
      </c>
      <c r="D37" cm="1">
        <f t="array" ref="D37">[36]!LONGPOSITION3862909776</f>
        <v>0</v>
      </c>
      <c r="E37" cm="1">
        <f t="array" ref="E37">[36]!SHORTPOSITION3862909776</f>
        <v>0</v>
      </c>
      <c r="F37" cm="1">
        <f t="array" ref="F37">[36]!MTMPL3862909776</f>
        <v>0</v>
      </c>
      <c r="G37" cm="1">
        <f t="array" ref="G37">[36]!LASTPRICE</f>
        <v>3574</v>
      </c>
      <c r="H37" cm="1">
        <f t="array" ref="H37">[36]!NETCHANGE</f>
        <v>-16</v>
      </c>
      <c r="I37" t="str" cm="1">
        <f t="array" ref="I37">[36]!NETCHANGERATE</f>
        <v>-0.45%</v>
      </c>
      <c r="J37" cm="1">
        <f t="array" ref="J37">[36]!BIDVOLUME1</f>
        <v>227</v>
      </c>
      <c r="K37" cm="1">
        <f t="array" ref="K37">[36]!BIDPRICE1</f>
        <v>3573</v>
      </c>
      <c r="L37" cm="1">
        <f t="array" ref="L37">[36]!ASKPRICE1</f>
        <v>3574</v>
      </c>
      <c r="M37" cm="1">
        <f t="array" ref="M37">[36]!ASKVOLUME1</f>
        <v>61</v>
      </c>
      <c r="N37" cm="1">
        <f t="array" ref="N37">[36]!OPENPRICE</f>
        <v>3579</v>
      </c>
      <c r="O37" cm="1">
        <f t="array" ref="O37">[36]!HIGH</f>
        <v>3590</v>
      </c>
      <c r="P37" cm="1">
        <f t="array" ref="P37">[36]!LOW</f>
        <v>3553</v>
      </c>
      <c r="Q37" cm="1">
        <f t="array" ref="Q37">[36]!TRADEVOLUME</f>
        <v>98644</v>
      </c>
      <c r="R37" cm="1">
        <f t="array" ref="R37">[36]!POSIVOL</f>
        <v>164836</v>
      </c>
      <c r="S37" cm="1">
        <f t="array" ref="S37">[36]!POSIVOLCHANGE</f>
        <v>0</v>
      </c>
      <c r="T37" cm="1">
        <f t="array" ref="T37">[36]!POSIVOLCHANGEDAILY</f>
        <v>-7399</v>
      </c>
      <c r="U37" t="str" cm="1">
        <f t="array" ref="U37">[36]!INST_STATE</f>
        <v>连续交易</v>
      </c>
      <c r="V37" t="str" cm="1">
        <f t="array" ref="V37">[36]!UPDATETIME</f>
        <v>09:51:32.257</v>
      </c>
      <c r="W37" cm="1">
        <f t="array" ref="W37">[36]!UPPERLIMITPRICE</f>
        <v>3805</v>
      </c>
      <c r="X37" cm="1">
        <f t="array" ref="X37">[36]!LOWERLIMITPRICE</f>
        <v>3375</v>
      </c>
      <c r="Y37" t="e" cm="1">
        <f t="array" ref="Y37">[36]!CLOSEPRICE</f>
        <v>#N/A</v>
      </c>
      <c r="Z37" t="e" cm="1">
        <f t="array" ref="Z37">[36]!SETTLEPRICE</f>
        <v>#N/A</v>
      </c>
      <c r="AA37" cm="1">
        <f t="array" ref="AA37">[36]!PRECLOSE</f>
        <v>3579</v>
      </c>
      <c r="AB37" cm="1">
        <f t="array" ref="AB37">[36]!PRESETTLEPRICE</f>
        <v>3590</v>
      </c>
      <c r="AC37" t="s">
        <v>107</v>
      </c>
      <c r="AD37" t="s">
        <v>120</v>
      </c>
      <c r="AE37">
        <v>10</v>
      </c>
      <c r="AF37">
        <v>20260714</v>
      </c>
      <c r="AG37" t="e" cm="1">
        <f t="array" ref="AG37">[36]!MARGIN</f>
        <v>#N/A</v>
      </c>
      <c r="AH37" t="e" cm="1">
        <f t="array" ref="AH37">[36]!FEE</f>
        <v>#N/A</v>
      </c>
      <c r="AI37" t="s">
        <v>210</v>
      </c>
      <c r="AJ37" cm="1">
        <f t="array" ref="AJ37">[36]!IMPLYBIDVOLUME1</f>
        <v>0</v>
      </c>
      <c r="AK37" t="e" cm="1">
        <f t="array" ref="AK37">[36]!IMPLYBIDPRICE1</f>
        <v>#N/A</v>
      </c>
      <c r="AL37" t="e" cm="1">
        <f t="array" ref="AL37">[36]!IMPLYASKPRICE1</f>
        <v>#N/A</v>
      </c>
      <c r="AM37" cm="1">
        <f t="array" ref="AM37">[36]!IMPLYASKVOLUME1</f>
        <v>0</v>
      </c>
      <c r="AN37" cm="1">
        <f t="array" ref="AN37">[36]!VOLUMEBIDLOT</f>
        <v>0</v>
      </c>
      <c r="AO37" cm="1">
        <f t="array" ref="AO37">[36]!VOLUMEASKLOT</f>
        <v>0</v>
      </c>
    </row>
    <row r="38" spans="1:41" x14ac:dyDescent="0.25">
      <c r="A38" t="s">
        <v>121</v>
      </c>
      <c r="B38" t="s">
        <v>250</v>
      </c>
      <c r="C38" cm="1">
        <f t="array" ref="C38">[37]!NETVOLUME3862909776</f>
        <v>0</v>
      </c>
      <c r="D38" cm="1">
        <f t="array" ref="D38">[37]!LONGPOSITION3862909776</f>
        <v>0</v>
      </c>
      <c r="E38" cm="1">
        <f t="array" ref="E38">[37]!SHORTPOSITION3862909776</f>
        <v>0</v>
      </c>
      <c r="F38" cm="1">
        <f t="array" ref="F38">[37]!MTMPL3862909776</f>
        <v>0</v>
      </c>
      <c r="G38" cm="1">
        <f t="array" ref="G38">[37]!LASTPRICE</f>
        <v>146.1</v>
      </c>
      <c r="H38" cm="1">
        <f t="array" ref="H38">[37]!NETCHANGE</f>
        <v>-0.59999999999999432</v>
      </c>
      <c r="I38" t="str" cm="1">
        <f t="array" ref="I38">[37]!NETCHANGERATE</f>
        <v>-0.41%</v>
      </c>
      <c r="J38" cm="1">
        <f t="array" ref="J38">[37]!BIDVOLUME1</f>
        <v>14</v>
      </c>
      <c r="K38" cm="1">
        <f t="array" ref="K38">[37]!BIDPRICE1</f>
        <v>146.19999999999999</v>
      </c>
      <c r="L38" cm="1">
        <f t="array" ref="L38">[37]!ASKPRICE1</f>
        <v>146.6</v>
      </c>
      <c r="M38" cm="1">
        <f t="array" ref="M38">[37]!ASKVOLUME1</f>
        <v>3</v>
      </c>
      <c r="N38" cm="1">
        <f t="array" ref="N38">[37]!OPENPRICE</f>
        <v>144.75</v>
      </c>
      <c r="O38" cm="1">
        <f t="array" ref="O38">[37]!HIGH</f>
        <v>146.9</v>
      </c>
      <c r="P38" cm="1">
        <f t="array" ref="P38">[37]!LOW</f>
        <v>144.75</v>
      </c>
      <c r="Q38" cm="1">
        <f t="array" ref="Q38">[37]!TRADEVOLUME</f>
        <v>57</v>
      </c>
      <c r="R38" cm="1">
        <f t="array" ref="R38">[37]!POSIVOL</f>
        <v>49</v>
      </c>
      <c r="S38" cm="1">
        <f t="array" ref="S38">[37]!POSIVOLCHANGE</f>
        <v>0</v>
      </c>
      <c r="T38" cm="1">
        <f t="array" ref="T38">[37]!POSIVOLCHANGEDAILY</f>
        <v>2</v>
      </c>
      <c r="U38" t="str" cm="1">
        <f t="array" ref="U38">[37]!INST_STATE</f>
        <v>连续交易</v>
      </c>
      <c r="V38" t="str" cm="1">
        <f t="array" ref="V38">[37]!UPDATETIME</f>
        <v>09:51:38.757</v>
      </c>
      <c r="W38" cm="1">
        <f t="array" ref="W38">[37]!UPPERLIMITPRICE</f>
        <v>153.75</v>
      </c>
      <c r="X38" cm="1">
        <f t="array" ref="X38">[37]!LOWERLIMITPRICE</f>
        <v>139.15</v>
      </c>
      <c r="Y38" t="e" cm="1">
        <f t="array" ref="Y38">[37]!CLOSEPRICE</f>
        <v>#N/A</v>
      </c>
      <c r="Z38" t="e" cm="1">
        <f t="array" ref="Z38">[37]!SETTLEPRICE</f>
        <v>#N/A</v>
      </c>
      <c r="AA38" cm="1">
        <f t="array" ref="AA38">[37]!PRECLOSE</f>
        <v>146.55000000000001</v>
      </c>
      <c r="AB38" cm="1">
        <f t="array" ref="AB38">[37]!PRESETTLEPRICE</f>
        <v>146.69999999999999</v>
      </c>
      <c r="AC38" t="s">
        <v>107</v>
      </c>
      <c r="AD38" t="s">
        <v>122</v>
      </c>
      <c r="AE38">
        <v>500</v>
      </c>
      <c r="AF38">
        <v>20260714</v>
      </c>
      <c r="AG38" t="e" cm="1">
        <f t="array" ref="AG38">[37]!MARGIN</f>
        <v>#N/A</v>
      </c>
      <c r="AH38" t="e" cm="1">
        <f t="array" ref="AH38">[37]!FEE</f>
        <v>#N/A</v>
      </c>
      <c r="AI38" t="s">
        <v>210</v>
      </c>
      <c r="AJ38" cm="1">
        <f t="array" ref="AJ38">[37]!IMPLYBIDVOLUME1</f>
        <v>0</v>
      </c>
      <c r="AK38" t="e" cm="1">
        <f t="array" ref="AK38">[37]!IMPLYBIDPRICE1</f>
        <v>#N/A</v>
      </c>
      <c r="AL38" t="e" cm="1">
        <f t="array" ref="AL38">[37]!IMPLYASKPRICE1</f>
        <v>#N/A</v>
      </c>
      <c r="AM38" cm="1">
        <f t="array" ref="AM38">[37]!IMPLYASKVOLUME1</f>
        <v>0</v>
      </c>
      <c r="AN38" cm="1">
        <f t="array" ref="AN38">[37]!VOLUMEBIDLOT</f>
        <v>0</v>
      </c>
      <c r="AO38" cm="1">
        <f t="array" ref="AO38">[37]!VOLUMEASKLOT</f>
        <v>0</v>
      </c>
    </row>
    <row r="39" spans="1:41" x14ac:dyDescent="0.25">
      <c r="A39" t="s">
        <v>251</v>
      </c>
      <c r="B39" t="s">
        <v>252</v>
      </c>
      <c r="C39" cm="1">
        <f t="array" ref="C39">[81]!NETVOLUME3862909776</f>
        <v>0</v>
      </c>
      <c r="D39" cm="1">
        <f t="array" ref="D39">[81]!LONGPOSITION3862909776</f>
        <v>0</v>
      </c>
      <c r="E39" cm="1">
        <f t="array" ref="E39">[81]!SHORTPOSITION3862909776</f>
        <v>0</v>
      </c>
      <c r="F39" cm="1">
        <f t="array" ref="F39">[81]!MTMPL3862909776</f>
        <v>0</v>
      </c>
      <c r="G39" cm="1">
        <f t="array" ref="G39">[81]!LASTPRICE</f>
        <v>7795</v>
      </c>
      <c r="H39" cm="1">
        <f t="array" ref="H39">[81]!NETCHANGE</f>
        <v>0</v>
      </c>
      <c r="I39" t="str" cm="1">
        <f t="array" ref="I39">[81]!NETCHANGERATE</f>
        <v>0.00%</v>
      </c>
      <c r="J39" cm="1">
        <f t="array" ref="J39">[81]!BIDVOLUME1</f>
        <v>6</v>
      </c>
      <c r="K39" cm="1">
        <f t="array" ref="K39">[81]!BIDPRICE1</f>
        <v>7791</v>
      </c>
      <c r="L39" cm="1">
        <f t="array" ref="L39">[81]!ASKPRICE1</f>
        <v>7797</v>
      </c>
      <c r="M39" cm="1">
        <f t="array" ref="M39">[81]!ASKVOLUME1</f>
        <v>2</v>
      </c>
      <c r="N39" cm="1">
        <f t="array" ref="N39">[81]!OPENPRICE</f>
        <v>7872</v>
      </c>
      <c r="O39" cm="1">
        <f t="array" ref="O39">[81]!HIGH</f>
        <v>8023</v>
      </c>
      <c r="P39" cm="1">
        <f t="array" ref="P39">[81]!LOW</f>
        <v>7767</v>
      </c>
      <c r="Q39" cm="1">
        <f t="array" ref="Q39">[81]!TRADEVOLUME</f>
        <v>9663</v>
      </c>
      <c r="R39" cm="1">
        <f t="array" ref="R39">[81]!POSIVOL</f>
        <v>13288</v>
      </c>
      <c r="S39" cm="1">
        <f t="array" ref="S39">[81]!POSIVOLCHANGE</f>
        <v>0</v>
      </c>
      <c r="T39" cm="1">
        <f t="array" ref="T39">[81]!POSIVOLCHANGEDAILY</f>
        <v>32</v>
      </c>
      <c r="U39" t="str" cm="1">
        <f t="array" ref="U39">[81]!INST_STATE</f>
        <v>连续交易</v>
      </c>
      <c r="V39" t="str" cm="1">
        <f t="array" ref="V39">[81]!UPDATETIME</f>
        <v>09:51:32.757</v>
      </c>
      <c r="W39" cm="1">
        <f t="array" ref="W39">[81]!UPPERLIMITPRICE</f>
        <v>8967</v>
      </c>
      <c r="X39" cm="1">
        <f t="array" ref="X39">[81]!LOWERLIMITPRICE</f>
        <v>7047</v>
      </c>
      <c r="Y39" t="e" cm="1">
        <f t="array" ref="Y39">[81]!CLOSEPRICE</f>
        <v>#N/A</v>
      </c>
      <c r="Z39" t="e" cm="1">
        <f t="array" ref="Z39">[81]!SETTLEPRICE</f>
        <v>#N/A</v>
      </c>
      <c r="AA39" cm="1">
        <f t="array" ref="AA39">[81]!PRECLOSE</f>
        <v>7950</v>
      </c>
      <c r="AB39" cm="1">
        <f t="array" ref="AB39">[81]!PRESETTLEPRICE</f>
        <v>7795</v>
      </c>
      <c r="AC39" t="s">
        <v>107</v>
      </c>
      <c r="AD39" t="s">
        <v>128</v>
      </c>
      <c r="AE39">
        <v>30</v>
      </c>
      <c r="AF39">
        <v>20260728</v>
      </c>
      <c r="AG39" t="e" cm="1">
        <f t="array" ref="AG39">[81]!MARGIN</f>
        <v>#N/A</v>
      </c>
      <c r="AH39" t="e" cm="1">
        <f t="array" ref="AH39">[81]!FEE</f>
        <v>#N/A</v>
      </c>
      <c r="AI39" t="s">
        <v>210</v>
      </c>
      <c r="AJ39" cm="1">
        <f t="array" ref="AJ39">[81]!IMPLYBIDVOLUME1</f>
        <v>0</v>
      </c>
      <c r="AK39" t="e" cm="1">
        <f t="array" ref="AK39">[81]!IMPLYBIDPRICE1</f>
        <v>#N/A</v>
      </c>
      <c r="AL39" t="e" cm="1">
        <f t="array" ref="AL39">[81]!IMPLYASKPRICE1</f>
        <v>#N/A</v>
      </c>
      <c r="AM39" cm="1">
        <f t="array" ref="AM39">[81]!IMPLYASKVOLUME1</f>
        <v>0</v>
      </c>
      <c r="AN39" cm="1">
        <f t="array" ref="AN39">[81]!VOLUMEBIDLOT</f>
        <v>0</v>
      </c>
      <c r="AO39" cm="1">
        <f t="array" ref="AO39">[81]!VOLUMEASKLOT</f>
        <v>0</v>
      </c>
    </row>
    <row r="40" spans="1:41" x14ac:dyDescent="0.25">
      <c r="A40" t="s">
        <v>129</v>
      </c>
      <c r="B40" t="s">
        <v>253</v>
      </c>
      <c r="C40" cm="1">
        <f t="array" ref="C40">[39]!NETVOLUME3862909776</f>
        <v>0</v>
      </c>
      <c r="D40" cm="1">
        <f t="array" ref="D40">[39]!LONGPOSITION3862909776</f>
        <v>0</v>
      </c>
      <c r="E40" cm="1">
        <f t="array" ref="E40">[39]!SHORTPOSITION3862909776</f>
        <v>0</v>
      </c>
      <c r="F40" cm="1">
        <f t="array" ref="F40">[39]!MTMPL3862909776</f>
        <v>0</v>
      </c>
      <c r="G40" cm="1">
        <f t="array" ref="G40">[39]!LASTPRICE</f>
        <v>2337</v>
      </c>
      <c r="H40" cm="1">
        <f t="array" ref="H40">[39]!NETCHANGE</f>
        <v>4</v>
      </c>
      <c r="I40" t="str" cm="1">
        <f t="array" ref="I40">[39]!NETCHANGERATE</f>
        <v>+0.17%</v>
      </c>
      <c r="J40" cm="1">
        <f t="array" ref="J40">[39]!BIDVOLUME1</f>
        <v>2124</v>
      </c>
      <c r="K40" cm="1">
        <f t="array" ref="K40">[39]!BIDPRICE1</f>
        <v>2337</v>
      </c>
      <c r="L40" cm="1">
        <f t="array" ref="L40">[39]!ASKPRICE1</f>
        <v>2338</v>
      </c>
      <c r="M40" cm="1">
        <f t="array" ref="M40">[39]!ASKVOLUME1</f>
        <v>3259</v>
      </c>
      <c r="N40" cm="1">
        <f t="array" ref="N40">[39]!OPENPRICE</f>
        <v>2333</v>
      </c>
      <c r="O40" cm="1">
        <f t="array" ref="O40">[39]!HIGH</f>
        <v>2343</v>
      </c>
      <c r="P40" cm="1">
        <f t="array" ref="P40">[39]!LOW</f>
        <v>2330</v>
      </c>
      <c r="Q40" cm="1">
        <f t="array" ref="Q40">[39]!TRADEVOLUME</f>
        <v>355551</v>
      </c>
      <c r="R40" cm="1">
        <f t="array" ref="R40">[39]!POSIVOL</f>
        <v>1174811</v>
      </c>
      <c r="S40" cm="1">
        <f t="array" ref="S40">[39]!POSIVOLCHANGE</f>
        <v>0</v>
      </c>
      <c r="T40" cm="1">
        <f t="array" ref="T40">[39]!POSIVOLCHANGEDAILY</f>
        <v>-10990</v>
      </c>
      <c r="U40" t="str" cm="1">
        <f t="array" ref="U40">[39]!INST_STATE</f>
        <v>连续交易</v>
      </c>
      <c r="V40" t="str" cm="1">
        <f t="array" ref="V40">[39]!UPDATETIME</f>
        <v>09:51:32.257</v>
      </c>
      <c r="W40" cm="1">
        <f t="array" ref="W40">[39]!UPPERLIMITPRICE</f>
        <v>2472</v>
      </c>
      <c r="X40" cm="1">
        <f t="array" ref="X40">[39]!LOWERLIMITPRICE</f>
        <v>2194</v>
      </c>
      <c r="Y40" t="e" cm="1">
        <f t="array" ref="Y40">[39]!CLOSEPRICE</f>
        <v>#N/A</v>
      </c>
      <c r="Z40" t="e" cm="1">
        <f t="array" ref="Z40">[39]!SETTLEPRICE</f>
        <v>#N/A</v>
      </c>
      <c r="AA40" cm="1">
        <f t="array" ref="AA40">[39]!PRECLOSE</f>
        <v>2331</v>
      </c>
      <c r="AB40" cm="1">
        <f t="array" ref="AB40">[39]!PRESETTLEPRICE</f>
        <v>2333</v>
      </c>
      <c r="AC40" t="s">
        <v>107</v>
      </c>
      <c r="AD40" t="s">
        <v>130</v>
      </c>
      <c r="AE40">
        <v>10</v>
      </c>
      <c r="AF40">
        <v>20260714</v>
      </c>
      <c r="AG40" t="e" cm="1">
        <f t="array" ref="AG40">[39]!MARGIN</f>
        <v>#N/A</v>
      </c>
      <c r="AH40" t="e" cm="1">
        <f t="array" ref="AH40">[39]!FEE</f>
        <v>#N/A</v>
      </c>
      <c r="AI40" t="s">
        <v>210</v>
      </c>
      <c r="AJ40" cm="1">
        <f t="array" ref="AJ40">[39]!IMPLYBIDVOLUME1</f>
        <v>0</v>
      </c>
      <c r="AK40" t="e" cm="1">
        <f t="array" ref="AK40">[39]!IMPLYBIDPRICE1</f>
        <v>#N/A</v>
      </c>
      <c r="AL40" t="e" cm="1">
        <f t="array" ref="AL40">[39]!IMPLYASKPRICE1</f>
        <v>#N/A</v>
      </c>
      <c r="AM40" cm="1">
        <f t="array" ref="AM40">[39]!IMPLYASKVOLUME1</f>
        <v>0</v>
      </c>
      <c r="AN40" cm="1">
        <f t="array" ref="AN40">[39]!VOLUMEBIDLOT</f>
        <v>0</v>
      </c>
      <c r="AO40" cm="1">
        <f t="array" ref="AO40">[39]!VOLUMEASKLOT</f>
        <v>0</v>
      </c>
    </row>
    <row r="41" spans="1:41" x14ac:dyDescent="0.25">
      <c r="A41" t="s">
        <v>131</v>
      </c>
      <c r="B41" t="s">
        <v>254</v>
      </c>
      <c r="C41" cm="1">
        <f t="array" ref="C41">[40]!NETVOLUME3862909776</f>
        <v>0</v>
      </c>
      <c r="D41" cm="1">
        <f t="array" ref="D41">[40]!LONGPOSITION3862909776</f>
        <v>0</v>
      </c>
      <c r="E41" cm="1">
        <f t="array" ref="E41">[40]!SHORTPOSITION3862909776</f>
        <v>0</v>
      </c>
      <c r="F41" cm="1">
        <f t="array" ref="F41">[40]!MTMPL3862909776</f>
        <v>0</v>
      </c>
      <c r="G41" cm="1">
        <f t="array" ref="G41">[40]!LASTPRICE</f>
        <v>2673</v>
      </c>
      <c r="H41" cm="1">
        <f t="array" ref="H41">[40]!NETCHANGE</f>
        <v>10</v>
      </c>
      <c r="I41" t="str" cm="1">
        <f t="array" ref="I41">[40]!NETCHANGERATE</f>
        <v>+0.38%</v>
      </c>
      <c r="J41" cm="1">
        <f t="array" ref="J41">[40]!BIDVOLUME1</f>
        <v>232</v>
      </c>
      <c r="K41" cm="1">
        <f t="array" ref="K41">[40]!BIDPRICE1</f>
        <v>2672</v>
      </c>
      <c r="L41" cm="1">
        <f t="array" ref="L41">[40]!ASKPRICE1</f>
        <v>2673</v>
      </c>
      <c r="M41" cm="1">
        <f t="array" ref="M41">[40]!ASKVOLUME1</f>
        <v>494</v>
      </c>
      <c r="N41" cm="1">
        <f t="array" ref="N41">[40]!OPENPRICE</f>
        <v>2661</v>
      </c>
      <c r="O41" cm="1">
        <f t="array" ref="O41">[40]!HIGH</f>
        <v>2676</v>
      </c>
      <c r="P41" cm="1">
        <f t="array" ref="P41">[40]!LOW</f>
        <v>2659</v>
      </c>
      <c r="Q41" cm="1">
        <f t="array" ref="Q41">[40]!TRADEVOLUME</f>
        <v>97268</v>
      </c>
      <c r="R41" cm="1">
        <f t="array" ref="R41">[40]!POSIVOL</f>
        <v>326005</v>
      </c>
      <c r="S41" cm="1">
        <f t="array" ref="S41">[40]!POSIVOLCHANGE</f>
        <v>0</v>
      </c>
      <c r="T41" cm="1">
        <f t="array" ref="T41">[40]!POSIVOLCHANGEDAILY</f>
        <v>2007</v>
      </c>
      <c r="U41" t="str" cm="1">
        <f t="array" ref="U41">[40]!INST_STATE</f>
        <v>连续交易</v>
      </c>
      <c r="V41" t="str" cm="1">
        <f t="array" ref="V41">[40]!UPDATETIME</f>
        <v>09:51:32.257</v>
      </c>
      <c r="W41" cm="1">
        <f t="array" ref="W41">[40]!UPPERLIMITPRICE</f>
        <v>2796</v>
      </c>
      <c r="X41" cm="1">
        <f t="array" ref="X41">[40]!LOWERLIMITPRICE</f>
        <v>2530</v>
      </c>
      <c r="Y41" t="e" cm="1">
        <f t="array" ref="Y41">[40]!CLOSEPRICE</f>
        <v>#N/A</v>
      </c>
      <c r="Z41" t="e" cm="1">
        <f t="array" ref="Z41">[40]!SETTLEPRICE</f>
        <v>#N/A</v>
      </c>
      <c r="AA41" cm="1">
        <f t="array" ref="AA41">[40]!PRECLOSE</f>
        <v>2661</v>
      </c>
      <c r="AB41" cm="1">
        <f t="array" ref="AB41">[40]!PRESETTLEPRICE</f>
        <v>2663</v>
      </c>
      <c r="AC41" t="s">
        <v>107</v>
      </c>
      <c r="AD41" t="s">
        <v>132</v>
      </c>
      <c r="AE41">
        <v>10</v>
      </c>
      <c r="AF41">
        <v>20260714</v>
      </c>
      <c r="AG41" t="e" cm="1">
        <f t="array" ref="AG41">[40]!MARGIN</f>
        <v>#N/A</v>
      </c>
      <c r="AH41" t="e" cm="1">
        <f t="array" ref="AH41">[40]!FEE</f>
        <v>#N/A</v>
      </c>
      <c r="AI41" t="s">
        <v>210</v>
      </c>
      <c r="AJ41" cm="1">
        <f t="array" ref="AJ41">[40]!IMPLYBIDVOLUME1</f>
        <v>0</v>
      </c>
      <c r="AK41" t="e" cm="1">
        <f t="array" ref="AK41">[40]!IMPLYBIDPRICE1</f>
        <v>#N/A</v>
      </c>
      <c r="AL41" t="e" cm="1">
        <f t="array" ref="AL41">[40]!IMPLYASKPRICE1</f>
        <v>#N/A</v>
      </c>
      <c r="AM41" cm="1">
        <f t="array" ref="AM41">[40]!IMPLYASKVOLUME1</f>
        <v>0</v>
      </c>
      <c r="AN41" cm="1">
        <f t="array" ref="AN41">[40]!VOLUMEBIDLOT</f>
        <v>0</v>
      </c>
      <c r="AO41" cm="1">
        <f t="array" ref="AO41">[40]!VOLUMEASKLOT</f>
        <v>0</v>
      </c>
    </row>
    <row r="42" spans="1:41" x14ac:dyDescent="0.25">
      <c r="A42" t="s">
        <v>135</v>
      </c>
      <c r="B42" t="s">
        <v>255</v>
      </c>
      <c r="C42" cm="1">
        <f t="array" ref="C42">[42]!NETVOLUME3862909776</f>
        <v>0</v>
      </c>
      <c r="D42" cm="1">
        <f t="array" ref="D42">[42]!LONGPOSITION3862909776</f>
        <v>0</v>
      </c>
      <c r="E42" cm="1">
        <f t="array" ref="E42">[42]!SHORTPOSITION3862909776</f>
        <v>0</v>
      </c>
      <c r="F42" cm="1">
        <f t="array" ref="F42">[42]!MTMPL3862909776</f>
        <v>0</v>
      </c>
      <c r="G42" cm="1">
        <f t="array" ref="G42">[42]!LASTPRICE</f>
        <v>9093</v>
      </c>
      <c r="H42" cm="1">
        <f t="array" ref="H42">[42]!NETCHANGE</f>
        <v>-159</v>
      </c>
      <c r="I42" t="str" cm="1">
        <f t="array" ref="I42">[42]!NETCHANGERATE</f>
        <v>-1.72%</v>
      </c>
      <c r="J42" cm="1">
        <f t="array" ref="J42">[42]!BIDVOLUME1</f>
        <v>35</v>
      </c>
      <c r="K42" cm="1">
        <f t="array" ref="K42">[42]!BIDPRICE1</f>
        <v>9092</v>
      </c>
      <c r="L42" cm="1">
        <f t="array" ref="L42">[42]!ASKPRICE1</f>
        <v>9093</v>
      </c>
      <c r="M42" cm="1">
        <f t="array" ref="M42">[42]!ASKVOLUME1</f>
        <v>17</v>
      </c>
      <c r="N42" cm="1">
        <f t="array" ref="N42">[42]!OPENPRICE</f>
        <v>9245</v>
      </c>
      <c r="O42" cm="1">
        <f t="array" ref="O42">[42]!HIGH</f>
        <v>9352</v>
      </c>
      <c r="P42" cm="1">
        <f t="array" ref="P42">[42]!LOW</f>
        <v>9075</v>
      </c>
      <c r="Q42" cm="1">
        <f t="array" ref="Q42">[42]!TRADEVOLUME</f>
        <v>327438</v>
      </c>
      <c r="R42" cm="1">
        <f t="array" ref="R42">[42]!POSIVOL</f>
        <v>372076</v>
      </c>
      <c r="S42" cm="1">
        <f t="array" ref="S42">[42]!POSIVOLCHANGE</f>
        <v>0</v>
      </c>
      <c r="T42" cm="1">
        <f t="array" ref="T42">[42]!POSIVOLCHANGEDAILY</f>
        <v>-430</v>
      </c>
      <c r="U42" t="str" cm="1">
        <f t="array" ref="U42">[42]!INST_STATE</f>
        <v>连续交易</v>
      </c>
      <c r="V42" t="str" cm="1">
        <f t="array" ref="V42">[42]!UPDATETIME</f>
        <v>09:51:32.257</v>
      </c>
      <c r="W42" cm="1">
        <f t="array" ref="W42">[42]!UPPERLIMITPRICE</f>
        <v>10269</v>
      </c>
      <c r="X42" cm="1">
        <f t="array" ref="X42">[42]!LOWERLIMITPRICE</f>
        <v>8235</v>
      </c>
      <c r="Y42" t="e" cm="1">
        <f t="array" ref="Y42">[42]!CLOSEPRICE</f>
        <v>#N/A</v>
      </c>
      <c r="Z42" t="e" cm="1">
        <f t="array" ref="Z42">[42]!SETTLEPRICE</f>
        <v>#N/A</v>
      </c>
      <c r="AA42" cm="1">
        <f t="array" ref="AA42">[42]!PRECLOSE</f>
        <v>9284</v>
      </c>
      <c r="AB42" cm="1">
        <f t="array" ref="AB42">[42]!PRESETTLEPRICE</f>
        <v>9252</v>
      </c>
      <c r="AC42" t="s">
        <v>107</v>
      </c>
      <c r="AD42" t="s">
        <v>136</v>
      </c>
      <c r="AE42">
        <v>5</v>
      </c>
      <c r="AF42">
        <v>20260728</v>
      </c>
      <c r="AG42" t="e" cm="1">
        <f t="array" ref="AG42">[42]!MARGIN</f>
        <v>#N/A</v>
      </c>
      <c r="AH42" t="e" cm="1">
        <f t="array" ref="AH42">[42]!FEE</f>
        <v>#N/A</v>
      </c>
      <c r="AI42" t="s">
        <v>210</v>
      </c>
      <c r="AJ42" cm="1">
        <f t="array" ref="AJ42">[42]!IMPLYBIDVOLUME1</f>
        <v>0</v>
      </c>
      <c r="AK42" t="e" cm="1">
        <f t="array" ref="AK42">[42]!IMPLYBIDPRICE1</f>
        <v>#N/A</v>
      </c>
      <c r="AL42" t="e" cm="1">
        <f t="array" ref="AL42">[42]!IMPLYASKPRICE1</f>
        <v>#N/A</v>
      </c>
      <c r="AM42" cm="1">
        <f t="array" ref="AM42">[42]!IMPLYASKVOLUME1</f>
        <v>0</v>
      </c>
      <c r="AN42" cm="1">
        <f t="array" ref="AN42">[42]!VOLUMEBIDLOT</f>
        <v>0</v>
      </c>
      <c r="AO42" cm="1">
        <f t="array" ref="AO42">[42]!VOLUMEASKLOT</f>
        <v>0</v>
      </c>
    </row>
    <row r="43" spans="1:41" x14ac:dyDescent="0.25">
      <c r="A43" t="s">
        <v>139</v>
      </c>
      <c r="B43" t="s">
        <v>256</v>
      </c>
      <c r="C43" cm="1">
        <f t="array" ref="C43">[44]!NETVOLUME3862909776</f>
        <v>0</v>
      </c>
      <c r="D43" cm="1">
        <f t="array" ref="D43">[44]!LONGPOSITION3862909776</f>
        <v>0</v>
      </c>
      <c r="E43" cm="1">
        <f t="array" ref="E43">[44]!SHORTPOSITION3862909776</f>
        <v>0</v>
      </c>
      <c r="F43" cm="1">
        <f t="array" ref="F43">[44]!MTMPL3862909776</f>
        <v>0</v>
      </c>
      <c r="G43" cm="1">
        <f t="array" ref="G43">[44]!LASTPRICE</f>
        <v>4520</v>
      </c>
      <c r="H43" cm="1">
        <f t="array" ref="H43">[44]!NETCHANGE</f>
        <v>-66</v>
      </c>
      <c r="I43" t="str" cm="1">
        <f t="array" ref="I43">[44]!NETCHANGERATE</f>
        <v>-1.44%</v>
      </c>
      <c r="J43" cm="1">
        <f t="array" ref="J43">[44]!BIDVOLUME1</f>
        <v>18</v>
      </c>
      <c r="K43" cm="1">
        <f t="array" ref="K43">[44]!BIDPRICE1</f>
        <v>4519</v>
      </c>
      <c r="L43" cm="1">
        <f t="array" ref="L43">[44]!ASKPRICE1</f>
        <v>4520</v>
      </c>
      <c r="M43" cm="1">
        <f t="array" ref="M43">[44]!ASKVOLUME1</f>
        <v>23</v>
      </c>
      <c r="N43" cm="1">
        <f t="array" ref="N43">[44]!OPENPRICE</f>
        <v>4515</v>
      </c>
      <c r="O43" cm="1">
        <f t="array" ref="O43">[44]!HIGH</f>
        <v>4575</v>
      </c>
      <c r="P43" cm="1">
        <f t="array" ref="P43">[44]!LOW</f>
        <v>4487</v>
      </c>
      <c r="Q43" cm="1">
        <f t="array" ref="Q43">[44]!TRADEVOLUME</f>
        <v>248085</v>
      </c>
      <c r="R43" cm="1">
        <f t="array" ref="R43">[44]!POSIVOL</f>
        <v>323291</v>
      </c>
      <c r="S43" cm="1">
        <f t="array" ref="S43">[44]!POSIVOLCHANGE</f>
        <v>0</v>
      </c>
      <c r="T43" cm="1">
        <f t="array" ref="T43">[44]!POSIVOLCHANGEDAILY</f>
        <v>-3254</v>
      </c>
      <c r="U43" t="str" cm="1">
        <f t="array" ref="U43">[44]!INST_STATE</f>
        <v>连续交易</v>
      </c>
      <c r="V43" t="str" cm="1">
        <f t="array" ref="V43">[44]!UPDATETIME</f>
        <v>09:51:32.257</v>
      </c>
      <c r="W43" cm="1">
        <f t="array" ref="W43">[44]!UPPERLIMITPRICE</f>
        <v>5090</v>
      </c>
      <c r="X43" cm="1">
        <f t="array" ref="X43">[44]!LOWERLIMITPRICE</f>
        <v>4082</v>
      </c>
      <c r="Y43" t="e" cm="1">
        <f t="array" ref="Y43">[44]!CLOSEPRICE</f>
        <v>#N/A</v>
      </c>
      <c r="Z43" t="e" cm="1">
        <f t="array" ref="Z43">[44]!SETTLEPRICE</f>
        <v>#N/A</v>
      </c>
      <c r="AA43" cm="1">
        <f t="array" ref="AA43">[44]!PRECLOSE</f>
        <v>4550</v>
      </c>
      <c r="AB43" cm="1">
        <f t="array" ref="AB43">[44]!PRESETTLEPRICE</f>
        <v>4586</v>
      </c>
      <c r="AC43" t="s">
        <v>107</v>
      </c>
      <c r="AD43" t="s">
        <v>140</v>
      </c>
      <c r="AE43">
        <v>10</v>
      </c>
      <c r="AF43">
        <v>20260924</v>
      </c>
      <c r="AG43" t="e" cm="1">
        <f t="array" ref="AG43">[44]!MARGIN</f>
        <v>#N/A</v>
      </c>
      <c r="AH43" t="e" cm="1">
        <f t="array" ref="AH43">[44]!FEE</f>
        <v>#N/A</v>
      </c>
      <c r="AI43" t="s">
        <v>210</v>
      </c>
      <c r="AJ43" cm="1">
        <f t="array" ref="AJ43">[44]!IMPLYBIDVOLUME1</f>
        <v>0</v>
      </c>
      <c r="AK43" t="e" cm="1">
        <f t="array" ref="AK43">[44]!IMPLYBIDPRICE1</f>
        <v>#N/A</v>
      </c>
      <c r="AL43" t="e" cm="1">
        <f t="array" ref="AL43">[44]!IMPLYASKPRICE1</f>
        <v>#N/A</v>
      </c>
      <c r="AM43" cm="1">
        <f t="array" ref="AM43">[44]!IMPLYASKVOLUME1</f>
        <v>0</v>
      </c>
      <c r="AN43" cm="1">
        <f t="array" ref="AN43">[44]!VOLUMEBIDLOT</f>
        <v>0</v>
      </c>
      <c r="AO43" cm="1">
        <f t="array" ref="AO43">[44]!VOLUMEASKLOT</f>
        <v>0</v>
      </c>
    </row>
    <row r="44" spans="1:41" x14ac:dyDescent="0.25">
      <c r="A44" t="s">
        <v>141</v>
      </c>
      <c r="B44" t="s">
        <v>257</v>
      </c>
      <c r="C44" cm="1">
        <f t="array" ref="C44">[45]!NETVOLUME3862909776</f>
        <v>0</v>
      </c>
      <c r="D44" cm="1">
        <f t="array" ref="D44">[45]!LONGPOSITION3862909776</f>
        <v>0</v>
      </c>
      <c r="E44" cm="1">
        <f t="array" ref="E44">[45]!SHORTPOSITION3862909776</f>
        <v>0</v>
      </c>
      <c r="F44" cm="1">
        <f t="array" ref="F44">[45]!MTMPL3862909776</f>
        <v>0</v>
      </c>
      <c r="G44" cm="1">
        <f t="array" ref="G44">[45]!LASTPRICE</f>
        <v>1292</v>
      </c>
      <c r="H44" cm="1">
        <f t="array" ref="H44">[45]!NETCHANGE</f>
        <v>3</v>
      </c>
      <c r="I44" t="str" cm="1">
        <f t="array" ref="I44">[45]!NETCHANGERATE</f>
        <v>+0.23%</v>
      </c>
      <c r="J44" cm="1">
        <f t="array" ref="J44">[45]!BIDVOLUME1</f>
        <v>8</v>
      </c>
      <c r="K44" cm="1">
        <f t="array" ref="K44">[45]!BIDPRICE1</f>
        <v>1291.5</v>
      </c>
      <c r="L44" cm="1">
        <f t="array" ref="L44">[45]!ASKPRICE1</f>
        <v>1292</v>
      </c>
      <c r="M44" cm="1">
        <f t="array" ref="M44">[45]!ASKVOLUME1</f>
        <v>1</v>
      </c>
      <c r="N44" cm="1">
        <f t="array" ref="N44">[45]!OPENPRICE</f>
        <v>1299.5</v>
      </c>
      <c r="O44" cm="1">
        <f t="array" ref="O44">[45]!HIGH</f>
        <v>1299.5</v>
      </c>
      <c r="P44" cm="1">
        <f t="array" ref="P44">[45]!LOW</f>
        <v>1287.5</v>
      </c>
      <c r="Q44" cm="1">
        <f t="array" ref="Q44">[45]!TRADEVOLUME</f>
        <v>541</v>
      </c>
      <c r="R44" cm="1">
        <f t="array" ref="R44">[45]!POSIVOL</f>
        <v>4892</v>
      </c>
      <c r="S44" cm="1">
        <f t="array" ref="S44">[45]!POSIVOLCHANGE</f>
        <v>-1</v>
      </c>
      <c r="T44" cm="1">
        <f t="array" ref="T44">[45]!POSIVOLCHANGEDAILY</f>
        <v>92</v>
      </c>
      <c r="U44" t="str" cm="1">
        <f t="array" ref="U44">[45]!INST_STATE</f>
        <v>连续交易</v>
      </c>
      <c r="V44" t="str" cm="1">
        <f t="array" ref="V44">[45]!UPDATETIME</f>
        <v>09:51:41.257</v>
      </c>
      <c r="W44" cm="1">
        <f t="array" ref="W44">[45]!UPPERLIMITPRICE</f>
        <v>1360.5</v>
      </c>
      <c r="X44" cm="1">
        <f t="array" ref="X44">[45]!LOWERLIMITPRICE</f>
        <v>1231.5</v>
      </c>
      <c r="Y44" t="e" cm="1">
        <f t="array" ref="Y44">[45]!CLOSEPRICE</f>
        <v>#N/A</v>
      </c>
      <c r="Z44" t="e" cm="1">
        <f t="array" ref="Z44">[45]!SETTLEPRICE</f>
        <v>#N/A</v>
      </c>
      <c r="AA44" cm="1">
        <f t="array" ref="AA44">[45]!PRECLOSE</f>
        <v>1296</v>
      </c>
      <c r="AB44" cm="1">
        <f t="array" ref="AB44">[45]!PRESETTLEPRICE</f>
        <v>1289</v>
      </c>
      <c r="AC44" t="s">
        <v>107</v>
      </c>
      <c r="AD44" t="s">
        <v>142</v>
      </c>
      <c r="AE44">
        <v>10</v>
      </c>
      <c r="AF44">
        <v>20260714</v>
      </c>
      <c r="AG44" t="e" cm="1">
        <f t="array" ref="AG44">[45]!MARGIN</f>
        <v>#N/A</v>
      </c>
      <c r="AH44" t="e" cm="1">
        <f t="array" ref="AH44">[45]!FEE</f>
        <v>#N/A</v>
      </c>
      <c r="AI44" t="s">
        <v>210</v>
      </c>
      <c r="AJ44" cm="1">
        <f t="array" ref="AJ44">[45]!IMPLYBIDVOLUME1</f>
        <v>0</v>
      </c>
      <c r="AK44" t="e" cm="1">
        <f t="array" ref="AK44">[45]!IMPLYBIDPRICE1</f>
        <v>#N/A</v>
      </c>
      <c r="AL44" t="e" cm="1">
        <f t="array" ref="AL44">[45]!IMPLYASKPRICE1</f>
        <v>#N/A</v>
      </c>
      <c r="AM44" cm="1">
        <f t="array" ref="AM44">[45]!IMPLYASKVOLUME1</f>
        <v>0</v>
      </c>
      <c r="AN44" cm="1">
        <f t="array" ref="AN44">[45]!VOLUMEBIDLOT</f>
        <v>0</v>
      </c>
      <c r="AO44" cm="1">
        <f t="array" ref="AO44">[45]!VOLUMEASKLOT</f>
        <v>0</v>
      </c>
    </row>
    <row r="45" spans="1:41" x14ac:dyDescent="0.25">
      <c r="A45" t="s">
        <v>147</v>
      </c>
      <c r="B45" t="s">
        <v>258</v>
      </c>
      <c r="C45" cm="1">
        <f t="array" ref="C45">[48]!NETVOLUME3862909776</f>
        <v>0</v>
      </c>
      <c r="D45" cm="1">
        <f t="array" ref="D45">[48]!LONGPOSITION3862909776</f>
        <v>0</v>
      </c>
      <c r="E45" cm="1">
        <f t="array" ref="E45">[48]!SHORTPOSITION3862909776</f>
        <v>0</v>
      </c>
      <c r="F45" cm="1">
        <f t="array" ref="F45">[48]!MTMPL3862909776</f>
        <v>0</v>
      </c>
      <c r="G45" cm="1">
        <f t="array" ref="G45">[48]!LASTPRICE</f>
        <v>797</v>
      </c>
      <c r="H45" cm="1">
        <f t="array" ref="H45">[48]!NETCHANGE</f>
        <v>4.5</v>
      </c>
      <c r="I45" t="str" cm="1">
        <f t="array" ref="I45">[48]!NETCHANGERATE</f>
        <v>+0.57%</v>
      </c>
      <c r="J45" cm="1">
        <f t="array" ref="J45">[48]!BIDVOLUME1</f>
        <v>409</v>
      </c>
      <c r="K45" cm="1">
        <f t="array" ref="K45">[48]!BIDPRICE1</f>
        <v>796.5</v>
      </c>
      <c r="L45" cm="1">
        <f t="array" ref="L45">[48]!ASKPRICE1</f>
        <v>797</v>
      </c>
      <c r="M45" cm="1">
        <f t="array" ref="M45">[48]!ASKVOLUME1</f>
        <v>224</v>
      </c>
      <c r="N45" cm="1">
        <f t="array" ref="N45">[48]!OPENPRICE</f>
        <v>790.5</v>
      </c>
      <c r="O45" cm="1">
        <f t="array" ref="O45">[48]!HIGH</f>
        <v>805</v>
      </c>
      <c r="P45" cm="1">
        <f t="array" ref="P45">[48]!LOW</f>
        <v>790</v>
      </c>
      <c r="Q45" cm="1">
        <f t="array" ref="Q45">[48]!TRADEVOLUME</f>
        <v>182540</v>
      </c>
      <c r="R45" cm="1">
        <f t="array" ref="R45">[48]!POSIVOL</f>
        <v>633177</v>
      </c>
      <c r="S45" cm="1">
        <f t="array" ref="S45">[48]!POSIVOLCHANGE</f>
        <v>0</v>
      </c>
      <c r="T45" cm="1">
        <f t="array" ref="T45">[48]!POSIVOLCHANGEDAILY</f>
        <v>8904</v>
      </c>
      <c r="U45" t="str" cm="1">
        <f t="array" ref="U45">[48]!INST_STATE</f>
        <v>连续交易</v>
      </c>
      <c r="V45" t="str" cm="1">
        <f t="array" ref="V45">[48]!UPDATETIME</f>
        <v>09:51:32.257</v>
      </c>
      <c r="W45" cm="1">
        <f t="array" ref="W45">[48]!UPPERLIMITPRICE</f>
        <v>863.5</v>
      </c>
      <c r="X45" cm="1">
        <f t="array" ref="X45">[48]!LOWERLIMITPRICE</f>
        <v>721.5</v>
      </c>
      <c r="Y45" t="e" cm="1">
        <f t="array" ref="Y45">[48]!CLOSEPRICE</f>
        <v>#N/A</v>
      </c>
      <c r="Z45" t="e" cm="1">
        <f t="array" ref="Z45">[48]!SETTLEPRICE</f>
        <v>#N/A</v>
      </c>
      <c r="AA45" cm="1">
        <f t="array" ref="AA45">[48]!PRECLOSE</f>
        <v>792</v>
      </c>
      <c r="AB45" cm="1">
        <f t="array" ref="AB45">[48]!PRESETTLEPRICE</f>
        <v>792.5</v>
      </c>
      <c r="AC45" t="s">
        <v>107</v>
      </c>
      <c r="AD45" t="s">
        <v>148</v>
      </c>
      <c r="AE45">
        <v>100</v>
      </c>
      <c r="AF45">
        <v>20260914</v>
      </c>
      <c r="AG45" t="e" cm="1">
        <f t="array" ref="AG45">[48]!MARGIN</f>
        <v>#N/A</v>
      </c>
      <c r="AH45" t="e" cm="1">
        <f t="array" ref="AH45">[48]!FEE</f>
        <v>#N/A</v>
      </c>
      <c r="AI45" t="s">
        <v>210</v>
      </c>
      <c r="AJ45" cm="1">
        <f t="array" ref="AJ45">[48]!IMPLYBIDVOLUME1</f>
        <v>0</v>
      </c>
      <c r="AK45" t="e" cm="1">
        <f t="array" ref="AK45">[48]!IMPLYBIDPRICE1</f>
        <v>#N/A</v>
      </c>
      <c r="AL45" t="e" cm="1">
        <f t="array" ref="AL45">[48]!IMPLYASKPRICE1</f>
        <v>#N/A</v>
      </c>
      <c r="AM45" cm="1">
        <f t="array" ref="AM45">[48]!IMPLYASKVOLUME1</f>
        <v>0</v>
      </c>
      <c r="AN45" cm="1">
        <f t="array" ref="AN45">[48]!VOLUMEBIDLOT</f>
        <v>0</v>
      </c>
      <c r="AO45" cm="1">
        <f t="array" ref="AO45">[48]!VOLUMEASKLOT</f>
        <v>0</v>
      </c>
    </row>
    <row r="46" spans="1:41" x14ac:dyDescent="0.25">
      <c r="A46" t="s">
        <v>149</v>
      </c>
      <c r="B46" t="s">
        <v>259</v>
      </c>
      <c r="C46" cm="1">
        <f t="array" ref="C46">[49]!NETVOLUME3862909776</f>
        <v>0</v>
      </c>
      <c r="D46" cm="1">
        <f t="array" ref="D46">[49]!LONGPOSITION3862909776</f>
        <v>0</v>
      </c>
      <c r="E46" cm="1">
        <f t="array" ref="E46">[49]!SHORTPOSITION3862909776</f>
        <v>0</v>
      </c>
      <c r="F46" cm="1">
        <f t="array" ref="F46">[49]!MTMPL3862909776</f>
        <v>0</v>
      </c>
      <c r="G46" cm="1">
        <f t="array" ref="G46">[49]!LASTPRICE</f>
        <v>1879</v>
      </c>
      <c r="H46" cm="1">
        <f t="array" ref="H46">[49]!NETCHANGE</f>
        <v>139</v>
      </c>
      <c r="I46" t="str" cm="1">
        <f t="array" ref="I46">[49]!NETCHANGERATE</f>
        <v>+7.99%</v>
      </c>
      <c r="J46" cm="1">
        <f t="array" ref="J46">[49]!BIDVOLUME1</f>
        <v>4348</v>
      </c>
      <c r="K46" cm="1">
        <f t="array" ref="K46">[49]!BIDPRICE1</f>
        <v>1879</v>
      </c>
      <c r="L46" t="e" cm="1">
        <f t="array" ref="L46">[49]!ASKPRICE1</f>
        <v>#N/A</v>
      </c>
      <c r="M46" cm="1">
        <f t="array" ref="M46">[49]!ASKVOLUME1</f>
        <v>0</v>
      </c>
      <c r="N46" cm="1">
        <f t="array" ref="N46">[49]!OPENPRICE</f>
        <v>1731</v>
      </c>
      <c r="O46" cm="1">
        <f t="array" ref="O46">[49]!HIGH</f>
        <v>1879</v>
      </c>
      <c r="P46" cm="1">
        <f t="array" ref="P46">[49]!LOW</f>
        <v>1719</v>
      </c>
      <c r="Q46" cm="1">
        <f t="array" ref="Q46">[49]!TRADEVOLUME</f>
        <v>9804</v>
      </c>
      <c r="R46" cm="1">
        <f t="array" ref="R46">[49]!POSIVOL</f>
        <v>32047</v>
      </c>
      <c r="S46" cm="1">
        <f t="array" ref="S46">[49]!POSIVOLCHANGE</f>
        <v>0</v>
      </c>
      <c r="T46" cm="1">
        <f t="array" ref="T46">[49]!POSIVOLCHANGEDAILY</f>
        <v>-1961</v>
      </c>
      <c r="U46" t="str" cm="1">
        <f t="array" ref="U46">[49]!INST_STATE</f>
        <v>连续交易</v>
      </c>
      <c r="V46" t="str" cm="1">
        <f t="array" ref="V46">[49]!UPDATETIME</f>
        <v>09:51:33.257</v>
      </c>
      <c r="W46" cm="1">
        <f t="array" ref="W46">[49]!UPPERLIMITPRICE</f>
        <v>1879</v>
      </c>
      <c r="X46" cm="1">
        <f t="array" ref="X46">[49]!LOWERLIMITPRICE</f>
        <v>1601</v>
      </c>
      <c r="Y46" t="e" cm="1">
        <f t="array" ref="Y46">[49]!CLOSEPRICE</f>
        <v>#N/A</v>
      </c>
      <c r="Z46" t="e" cm="1">
        <f t="array" ref="Z46">[49]!SETTLEPRICE</f>
        <v>#N/A</v>
      </c>
      <c r="AA46" cm="1">
        <f t="array" ref="AA46">[49]!PRECLOSE</f>
        <v>1731</v>
      </c>
      <c r="AB46" cm="1">
        <f t="array" ref="AB46">[49]!PRESETTLEPRICE</f>
        <v>1740</v>
      </c>
      <c r="AC46" t="s">
        <v>107</v>
      </c>
      <c r="AD46" t="s">
        <v>150</v>
      </c>
      <c r="AE46">
        <v>100</v>
      </c>
      <c r="AF46">
        <v>20260914</v>
      </c>
      <c r="AG46" t="e" cm="1">
        <f t="array" ref="AG46">[49]!MARGIN</f>
        <v>#N/A</v>
      </c>
      <c r="AH46" t="e" cm="1">
        <f t="array" ref="AH46">[49]!FEE</f>
        <v>#N/A</v>
      </c>
      <c r="AI46" t="s">
        <v>210</v>
      </c>
      <c r="AJ46" cm="1">
        <f t="array" ref="AJ46">[49]!IMPLYBIDVOLUME1</f>
        <v>0</v>
      </c>
      <c r="AK46" t="e" cm="1">
        <f t="array" ref="AK46">[49]!IMPLYBIDPRICE1</f>
        <v>#N/A</v>
      </c>
      <c r="AL46" t="e" cm="1">
        <f t="array" ref="AL46">[49]!IMPLYASKPRICE1</f>
        <v>#N/A</v>
      </c>
      <c r="AM46" cm="1">
        <f t="array" ref="AM46">[49]!IMPLYASKVOLUME1</f>
        <v>0</v>
      </c>
      <c r="AN46" cm="1">
        <f t="array" ref="AN46">[49]!VOLUMEBIDLOT</f>
        <v>0</v>
      </c>
      <c r="AO46" cm="1">
        <f t="array" ref="AO46">[49]!VOLUMEASKLOT</f>
        <v>0</v>
      </c>
    </row>
    <row r="47" spans="1:41" x14ac:dyDescent="0.25">
      <c r="A47" t="s">
        <v>151</v>
      </c>
      <c r="B47" t="s">
        <v>260</v>
      </c>
      <c r="C47" cm="1">
        <f t="array" ref="C47">[50]!NETVOLUME3862909776</f>
        <v>0</v>
      </c>
      <c r="D47" cm="1">
        <f t="array" ref="D47">[50]!LONGPOSITION3862909776</f>
        <v>0</v>
      </c>
      <c r="E47" cm="1">
        <f t="array" ref="E47">[50]!SHORTPOSITION3862909776</f>
        <v>0</v>
      </c>
      <c r="F47" cm="1">
        <f t="array" ref="F47">[50]!MTMPL3862909776</f>
        <v>0</v>
      </c>
      <c r="G47" cm="1">
        <f t="array" ref="G47">[50]!LASTPRICE</f>
        <v>3977</v>
      </c>
      <c r="H47" cm="1">
        <f t="array" ref="H47">[50]!NETCHANGE</f>
        <v>2</v>
      </c>
      <c r="I47" t="str" cm="1">
        <f t="array" ref="I47">[50]!NETCHANGERATE</f>
        <v>+0.05%</v>
      </c>
      <c r="J47" cm="1">
        <f t="array" ref="J47">[50]!BIDVOLUME1</f>
        <v>24</v>
      </c>
      <c r="K47" cm="1">
        <f t="array" ref="K47">[50]!BIDPRICE1</f>
        <v>3977</v>
      </c>
      <c r="L47" cm="1">
        <f t="array" ref="L47">[50]!ASKPRICE1</f>
        <v>3978</v>
      </c>
      <c r="M47" cm="1">
        <f t="array" ref="M47">[50]!ASKVOLUME1</f>
        <v>112</v>
      </c>
      <c r="N47" cm="1">
        <f t="array" ref="N47">[50]!OPENPRICE</f>
        <v>3966</v>
      </c>
      <c r="O47" cm="1">
        <f t="array" ref="O47">[50]!HIGH</f>
        <v>3988</v>
      </c>
      <c r="P47" cm="1">
        <f t="array" ref="P47">[50]!LOW</f>
        <v>3953</v>
      </c>
      <c r="Q47" cm="1">
        <f t="array" ref="Q47">[50]!TRADEVOLUME</f>
        <v>268484</v>
      </c>
      <c r="R47" cm="1">
        <f t="array" ref="R47">[50]!POSIVOL</f>
        <v>332008</v>
      </c>
      <c r="S47" cm="1">
        <f t="array" ref="S47">[50]!POSIVOLCHANGE</f>
        <v>0</v>
      </c>
      <c r="T47" cm="1">
        <f t="array" ref="T47">[50]!POSIVOLCHANGEDAILY</f>
        <v>7571</v>
      </c>
      <c r="U47" t="str" cm="1">
        <f t="array" ref="U47">[50]!INST_STATE</f>
        <v>连续交易</v>
      </c>
      <c r="V47" t="str" cm="1">
        <f t="array" ref="V47">[50]!UPDATETIME</f>
        <v>09:51:32.257</v>
      </c>
      <c r="W47" cm="1">
        <f t="array" ref="W47">[50]!UPPERLIMITPRICE</f>
        <v>4213</v>
      </c>
      <c r="X47" cm="1">
        <f t="array" ref="X47">[50]!LOWERLIMITPRICE</f>
        <v>3737</v>
      </c>
      <c r="Y47" t="e" cm="1">
        <f t="array" ref="Y47">[50]!CLOSEPRICE</f>
        <v>#N/A</v>
      </c>
      <c r="Z47" t="e" cm="1">
        <f t="array" ref="Z47">[50]!SETTLEPRICE</f>
        <v>#N/A</v>
      </c>
      <c r="AA47" cm="1">
        <f t="array" ref="AA47">[50]!PRECLOSE</f>
        <v>4020</v>
      </c>
      <c r="AB47" cm="1">
        <f t="array" ref="AB47">[50]!PRESETTLEPRICE</f>
        <v>3975</v>
      </c>
      <c r="AC47" t="s">
        <v>107</v>
      </c>
      <c r="AD47" t="s">
        <v>152</v>
      </c>
      <c r="AE47">
        <v>10</v>
      </c>
      <c r="AF47">
        <v>20260728</v>
      </c>
      <c r="AG47" t="e" cm="1">
        <f t="array" ref="AG47">[50]!MARGIN</f>
        <v>#N/A</v>
      </c>
      <c r="AH47" t="e" cm="1">
        <f t="array" ref="AH47">[50]!FEE</f>
        <v>#N/A</v>
      </c>
      <c r="AI47" t="s">
        <v>210</v>
      </c>
      <c r="AJ47" cm="1">
        <f t="array" ref="AJ47">[50]!IMPLYBIDVOLUME1</f>
        <v>0</v>
      </c>
      <c r="AK47" t="e" cm="1">
        <f t="array" ref="AK47">[50]!IMPLYBIDPRICE1</f>
        <v>#N/A</v>
      </c>
      <c r="AL47" t="e" cm="1">
        <f t="array" ref="AL47">[50]!IMPLYASKPRICE1</f>
        <v>#N/A</v>
      </c>
      <c r="AM47" cm="1">
        <f t="array" ref="AM47">[50]!IMPLYASKVOLUME1</f>
        <v>0</v>
      </c>
      <c r="AN47" cm="1">
        <f t="array" ref="AN47">[50]!VOLUMEBIDLOT</f>
        <v>0</v>
      </c>
      <c r="AO47" cm="1">
        <f t="array" ref="AO47">[50]!VOLUMEASKLOT</f>
        <v>0</v>
      </c>
    </row>
    <row r="48" spans="1:41" x14ac:dyDescent="0.25">
      <c r="A48" t="s">
        <v>153</v>
      </c>
      <c r="B48" t="s">
        <v>261</v>
      </c>
      <c r="C48" cm="1">
        <f t="array" ref="C48">[51]!NETVOLUME3862909776</f>
        <v>0</v>
      </c>
      <c r="D48" cm="1">
        <f t="array" ref="D48">[51]!LONGPOSITION3862909776</f>
        <v>0</v>
      </c>
      <c r="E48" cm="1">
        <f t="array" ref="E48">[51]!SHORTPOSITION3862909776</f>
        <v>0</v>
      </c>
      <c r="F48" cm="1">
        <f t="array" ref="F48">[51]!MTMPL3862909776</f>
        <v>0</v>
      </c>
      <c r="G48" cm="1">
        <f t="array" ref="G48">[51]!LASTPRICE</f>
        <v>1266.5</v>
      </c>
      <c r="H48" cm="1">
        <f t="array" ref="H48">[51]!NETCHANGE</f>
        <v>93.5</v>
      </c>
      <c r="I48" t="str" cm="1">
        <f t="array" ref="I48">[51]!NETCHANGERATE</f>
        <v>+7.97%</v>
      </c>
      <c r="J48" cm="1">
        <f t="array" ref="J48">[51]!BIDVOLUME1</f>
        <v>123276</v>
      </c>
      <c r="K48" cm="1">
        <f t="array" ref="K48">[51]!BIDPRICE1</f>
        <v>1266.5</v>
      </c>
      <c r="L48" t="e" cm="1">
        <f t="array" ref="L48">[51]!ASKPRICE1</f>
        <v>#N/A</v>
      </c>
      <c r="M48" cm="1">
        <f t="array" ref="M48">[51]!ASKVOLUME1</f>
        <v>0</v>
      </c>
      <c r="N48" cm="1">
        <f t="array" ref="N48">[51]!OPENPRICE</f>
        <v>1160</v>
      </c>
      <c r="O48" cm="1">
        <f t="array" ref="O48">[51]!HIGH</f>
        <v>1266.5</v>
      </c>
      <c r="P48" cm="1">
        <f t="array" ref="P48">[51]!LOW</f>
        <v>1152.5</v>
      </c>
      <c r="Q48" cm="1">
        <f t="array" ref="Q48">[51]!TRADEVOLUME</f>
        <v>304472</v>
      </c>
      <c r="R48" cm="1">
        <f t="array" ref="R48">[51]!POSIVOL</f>
        <v>495089</v>
      </c>
      <c r="S48" cm="1">
        <f t="array" ref="S48">[51]!POSIVOLCHANGE</f>
        <v>0</v>
      </c>
      <c r="T48" cm="1">
        <f t="array" ref="T48">[51]!POSIVOLCHANGEDAILY</f>
        <v>-44979</v>
      </c>
      <c r="U48" t="str" cm="1">
        <f t="array" ref="U48">[51]!INST_STATE</f>
        <v>连续交易</v>
      </c>
      <c r="V48" t="str" cm="1">
        <f t="array" ref="V48">[51]!UPDATETIME</f>
        <v>09:51:32.257</v>
      </c>
      <c r="W48" cm="1">
        <f t="array" ref="W48">[51]!UPPERLIMITPRICE</f>
        <v>1266.5</v>
      </c>
      <c r="X48" cm="1">
        <f t="array" ref="X48">[51]!LOWERLIMITPRICE</f>
        <v>1079.5</v>
      </c>
      <c r="Y48" t="e" cm="1">
        <f t="array" ref="Y48">[51]!CLOSEPRICE</f>
        <v>#N/A</v>
      </c>
      <c r="Z48" t="e" cm="1">
        <f t="array" ref="Z48">[51]!SETTLEPRICE</f>
        <v>#N/A</v>
      </c>
      <c r="AA48" cm="1">
        <f t="array" ref="AA48">[51]!PRECLOSE</f>
        <v>1162.5</v>
      </c>
      <c r="AB48" cm="1">
        <f t="array" ref="AB48">[51]!PRESETTLEPRICE</f>
        <v>1173</v>
      </c>
      <c r="AC48" t="s">
        <v>107</v>
      </c>
      <c r="AD48" t="s">
        <v>154</v>
      </c>
      <c r="AE48">
        <v>60</v>
      </c>
      <c r="AF48">
        <v>20260914</v>
      </c>
      <c r="AG48" t="e" cm="1">
        <f t="array" ref="AG48">[51]!MARGIN</f>
        <v>#N/A</v>
      </c>
      <c r="AH48" t="e" cm="1">
        <f t="array" ref="AH48">[51]!FEE</f>
        <v>#N/A</v>
      </c>
      <c r="AI48" t="s">
        <v>210</v>
      </c>
      <c r="AJ48" cm="1">
        <f t="array" ref="AJ48">[51]!IMPLYBIDVOLUME1</f>
        <v>0</v>
      </c>
      <c r="AK48" t="e" cm="1">
        <f t="array" ref="AK48">[51]!IMPLYBIDPRICE1</f>
        <v>#N/A</v>
      </c>
      <c r="AL48" t="e" cm="1">
        <f t="array" ref="AL48">[51]!IMPLYASKPRICE1</f>
        <v>#N/A</v>
      </c>
      <c r="AM48" cm="1">
        <f t="array" ref="AM48">[51]!IMPLYASKVOLUME1</f>
        <v>0</v>
      </c>
      <c r="AN48" cm="1">
        <f t="array" ref="AN48">[51]!VOLUMEBIDLOT</f>
        <v>0</v>
      </c>
      <c r="AO48" cm="1">
        <f t="array" ref="AO48">[51]!VOLUMEASKLOT</f>
        <v>0</v>
      </c>
    </row>
    <row r="49" spans="1:41" x14ac:dyDescent="0.25">
      <c r="A49" t="s">
        <v>155</v>
      </c>
      <c r="B49" t="s">
        <v>262</v>
      </c>
      <c r="C49" cm="1">
        <f t="array" ref="C49">[52]!NETVOLUME3862909776</f>
        <v>0</v>
      </c>
      <c r="D49" cm="1">
        <f t="array" ref="D49">[52]!LONGPOSITION3862909776</f>
        <v>0</v>
      </c>
      <c r="E49" cm="1">
        <f t="array" ref="E49">[52]!SHORTPOSITION3862909776</f>
        <v>0</v>
      </c>
      <c r="F49" cm="1">
        <f t="array" ref="F49">[52]!MTMPL3862909776</f>
        <v>0</v>
      </c>
      <c r="G49" cm="1">
        <f t="array" ref="G49">[52]!LASTPRICE</f>
        <v>7914</v>
      </c>
      <c r="H49" cm="1">
        <f t="array" ref="H49">[52]!NETCHANGE</f>
        <v>-32</v>
      </c>
      <c r="I49" t="str" cm="1">
        <f t="array" ref="I49">[52]!NETCHANGERATE</f>
        <v>-0.40%</v>
      </c>
      <c r="J49" cm="1">
        <f t="array" ref="J49">[52]!BIDVOLUME1</f>
        <v>56</v>
      </c>
      <c r="K49" cm="1">
        <f t="array" ref="K49">[52]!BIDPRICE1</f>
        <v>7913</v>
      </c>
      <c r="L49" cm="1">
        <f t="array" ref="L49">[52]!ASKPRICE1</f>
        <v>7914</v>
      </c>
      <c r="M49" cm="1">
        <f t="array" ref="M49">[52]!ASKVOLUME1</f>
        <v>7</v>
      </c>
      <c r="N49" cm="1">
        <f t="array" ref="N49">[52]!OPENPRICE</f>
        <v>7908</v>
      </c>
      <c r="O49" cm="1">
        <f t="array" ref="O49">[52]!HIGH</f>
        <v>8008</v>
      </c>
      <c r="P49" cm="1">
        <f t="array" ref="P49">[52]!LOW</f>
        <v>7879</v>
      </c>
      <c r="Q49" cm="1">
        <f t="array" ref="Q49">[52]!TRADEVOLUME</f>
        <v>352506</v>
      </c>
      <c r="R49" cm="1">
        <f t="array" ref="R49">[52]!POSIVOL</f>
        <v>386340</v>
      </c>
      <c r="S49" cm="1">
        <f t="array" ref="S49">[52]!POSIVOLCHANGE</f>
        <v>0</v>
      </c>
      <c r="T49" cm="1">
        <f t="array" ref="T49">[52]!POSIVOLCHANGEDAILY</f>
        <v>-6333</v>
      </c>
      <c r="U49" t="str" cm="1">
        <f t="array" ref="U49">[52]!INST_STATE</f>
        <v>连续交易</v>
      </c>
      <c r="V49" t="str" cm="1">
        <f t="array" ref="V49">[52]!UPDATETIME</f>
        <v>09:51:32.257</v>
      </c>
      <c r="W49" cm="1">
        <f t="array" ref="W49">[52]!UPPERLIMITPRICE</f>
        <v>8661</v>
      </c>
      <c r="X49" cm="1">
        <f t="array" ref="X49">[52]!LOWERLIMITPRICE</f>
        <v>7231</v>
      </c>
      <c r="Y49" t="e" cm="1">
        <f t="array" ref="Y49">[52]!CLOSEPRICE</f>
        <v>#N/A</v>
      </c>
      <c r="Z49" t="e" cm="1">
        <f t="array" ref="Z49">[52]!SETTLEPRICE</f>
        <v>#N/A</v>
      </c>
      <c r="AA49" cm="1">
        <f t="array" ref="AA49">[52]!PRECLOSE</f>
        <v>7927</v>
      </c>
      <c r="AB49" cm="1">
        <f t="array" ref="AB49">[52]!PRESETTLEPRICE</f>
        <v>7946</v>
      </c>
      <c r="AC49" t="s">
        <v>107</v>
      </c>
      <c r="AD49" t="s">
        <v>156</v>
      </c>
      <c r="AE49">
        <v>5</v>
      </c>
      <c r="AF49">
        <v>20260914</v>
      </c>
      <c r="AG49" t="e" cm="1">
        <f t="array" ref="AG49">[52]!MARGIN</f>
        <v>#N/A</v>
      </c>
      <c r="AH49" t="e" cm="1">
        <f t="array" ref="AH49">[52]!FEE</f>
        <v>#N/A</v>
      </c>
      <c r="AI49" t="s">
        <v>210</v>
      </c>
      <c r="AJ49" cm="1">
        <f t="array" ref="AJ49">[52]!IMPLYBIDVOLUME1</f>
        <v>0</v>
      </c>
      <c r="AK49" t="e" cm="1">
        <f t="array" ref="AK49">[52]!IMPLYBIDPRICE1</f>
        <v>#N/A</v>
      </c>
      <c r="AL49" t="e" cm="1">
        <f t="array" ref="AL49">[52]!IMPLYASKPRICE1</f>
        <v>#N/A</v>
      </c>
      <c r="AM49" cm="1">
        <f t="array" ref="AM49">[52]!IMPLYASKVOLUME1</f>
        <v>0</v>
      </c>
      <c r="AN49" cm="1">
        <f t="array" ref="AN49">[52]!VOLUMEBIDLOT</f>
        <v>0</v>
      </c>
      <c r="AO49" cm="1">
        <f t="array" ref="AO49">[52]!VOLUMEASKLOT</f>
        <v>0</v>
      </c>
    </row>
    <row r="50" spans="1:41" x14ac:dyDescent="0.25">
      <c r="A50" t="s">
        <v>263</v>
      </c>
      <c r="B50" t="s">
        <v>263</v>
      </c>
      <c r="C50" cm="1">
        <f t="array" ref="C50">[82]!NETVOLUME3862909776</f>
        <v>0</v>
      </c>
      <c r="D50" cm="1">
        <f t="array" ref="D50">[82]!LONGPOSITION3862909776</f>
        <v>0</v>
      </c>
      <c r="E50" cm="1">
        <f t="array" ref="E50">[82]!SHORTPOSITION3862909776</f>
        <v>0</v>
      </c>
      <c r="F50" cm="1">
        <f t="array" ref="F50">[82]!MTMPL3862909776</f>
        <v>0</v>
      </c>
      <c r="G50" cm="1">
        <f t="array" ref="G50">[82]!LASTPRICE</f>
        <v>7927</v>
      </c>
      <c r="H50" cm="1">
        <f t="array" ref="H50">[82]!NETCHANGE</f>
        <v>-19</v>
      </c>
      <c r="I50" t="str" cm="1">
        <f t="array" ref="I50">[82]!NETCHANGERATE</f>
        <v>-0.24%</v>
      </c>
      <c r="J50" cm="1">
        <f t="array" ref="J50">[82]!BIDVOLUME1</f>
        <v>69</v>
      </c>
      <c r="K50" cm="1">
        <f t="array" ref="K50">[82]!BIDPRICE1</f>
        <v>7913</v>
      </c>
      <c r="L50" cm="1">
        <f t="array" ref="L50">[82]!ASKPRICE1</f>
        <v>7916</v>
      </c>
      <c r="M50" cm="1">
        <f t="array" ref="M50">[82]!ASKVOLUME1</f>
        <v>9</v>
      </c>
      <c r="N50" cm="1">
        <f t="array" ref="N50">[82]!OPENPRICE</f>
        <v>7903</v>
      </c>
      <c r="O50" cm="1">
        <f t="array" ref="O50">[82]!HIGH</f>
        <v>8002</v>
      </c>
      <c r="P50" cm="1">
        <f t="array" ref="P50">[82]!LOW</f>
        <v>7897</v>
      </c>
      <c r="Q50" cm="1">
        <f t="array" ref="Q50">[82]!TRADEVOLUME</f>
        <v>2199</v>
      </c>
      <c r="R50" cm="1">
        <f t="array" ref="R50">[82]!POSIVOL</f>
        <v>3160</v>
      </c>
      <c r="S50" cm="1">
        <f t="array" ref="S50">[82]!POSIVOLCHANGE</f>
        <v>0</v>
      </c>
      <c r="T50" cm="1">
        <f t="array" ref="T50">[82]!POSIVOLCHANGEDAILY</f>
        <v>-57</v>
      </c>
      <c r="U50" t="str" cm="1">
        <f t="array" ref="U50">[82]!INST_STATE</f>
        <v>连续交易</v>
      </c>
      <c r="V50" t="str" cm="1">
        <f t="array" ref="V50">[82]!UPDATETIME</f>
        <v>09:51:31.757</v>
      </c>
      <c r="W50" cm="1">
        <f t="array" ref="W50">[82]!UPPERLIMITPRICE</f>
        <v>8661</v>
      </c>
      <c r="X50" cm="1">
        <f t="array" ref="X50">[82]!LOWERLIMITPRICE</f>
        <v>7231</v>
      </c>
      <c r="Y50" t="e" cm="1">
        <f t="array" ref="Y50">[82]!CLOSEPRICE</f>
        <v>#N/A</v>
      </c>
      <c r="Z50" t="e" cm="1">
        <f t="array" ref="Z50">[82]!SETTLEPRICE</f>
        <v>#N/A</v>
      </c>
      <c r="AA50" cm="1">
        <f t="array" ref="AA50">[82]!PRECLOSE</f>
        <v>7932</v>
      </c>
      <c r="AB50" cm="1">
        <f t="array" ref="AB50">[82]!PRESETTLEPRICE</f>
        <v>7946</v>
      </c>
      <c r="AC50" t="s">
        <v>107</v>
      </c>
      <c r="AD50" t="s">
        <v>264</v>
      </c>
      <c r="AE50">
        <v>5</v>
      </c>
      <c r="AF50">
        <v>20260831</v>
      </c>
      <c r="AG50" t="e" cm="1">
        <f t="array" ref="AG50">[82]!MARGIN</f>
        <v>#N/A</v>
      </c>
      <c r="AH50" t="e" cm="1">
        <f t="array" ref="AH50">[82]!FEE</f>
        <v>#N/A</v>
      </c>
      <c r="AI50" t="s">
        <v>210</v>
      </c>
      <c r="AJ50" cm="1">
        <f t="array" ref="AJ50">[82]!IMPLYBIDVOLUME1</f>
        <v>0</v>
      </c>
      <c r="AK50" t="e" cm="1">
        <f t="array" ref="AK50">[82]!IMPLYBIDPRICE1</f>
        <v>#N/A</v>
      </c>
      <c r="AL50" t="e" cm="1">
        <f t="array" ref="AL50">[82]!IMPLYASKPRICE1</f>
        <v>#N/A</v>
      </c>
      <c r="AM50" cm="1">
        <f t="array" ref="AM50">[82]!IMPLYASKVOLUME1</f>
        <v>0</v>
      </c>
      <c r="AN50" cm="1">
        <f t="array" ref="AN50">[82]!VOLUMEBIDLOT</f>
        <v>0</v>
      </c>
      <c r="AO50" cm="1">
        <f t="array" ref="AO50">[82]!VOLUMEASKLOT</f>
        <v>0</v>
      </c>
    </row>
    <row r="51" spans="1:41" x14ac:dyDescent="0.25">
      <c r="A51" t="s">
        <v>160</v>
      </c>
      <c r="B51" t="s">
        <v>265</v>
      </c>
      <c r="C51" cm="1">
        <f t="array" ref="C51">[54]!NETVOLUME3862909776</f>
        <v>0</v>
      </c>
      <c r="D51" cm="1">
        <f t="array" ref="D51">[54]!LONGPOSITION3862909776</f>
        <v>0</v>
      </c>
      <c r="E51" cm="1">
        <f t="array" ref="E51">[54]!SHORTPOSITION3862909776</f>
        <v>0</v>
      </c>
      <c r="F51" cm="1">
        <f t="array" ref="F51">[54]!MTMPL3862909776</f>
        <v>0</v>
      </c>
      <c r="G51" cm="1">
        <f t="array" ref="G51">[54]!LASTPRICE</f>
        <v>811.5</v>
      </c>
      <c r="H51" cm="1">
        <f t="array" ref="H51">[54]!NETCHANGE</f>
        <v>3</v>
      </c>
      <c r="I51" t="str" cm="1">
        <f t="array" ref="I51">[54]!NETCHANGERATE</f>
        <v>+0.37%</v>
      </c>
      <c r="J51" cm="1">
        <f t="array" ref="J51">[54]!BIDVOLUME1</f>
        <v>46</v>
      </c>
      <c r="K51" cm="1">
        <f t="array" ref="K51">[54]!BIDPRICE1</f>
        <v>811.5</v>
      </c>
      <c r="L51" cm="1">
        <f t="array" ref="L51">[54]!ASKPRICE1</f>
        <v>812</v>
      </c>
      <c r="M51" cm="1">
        <f t="array" ref="M51">[54]!ASKVOLUME1</f>
        <v>34</v>
      </c>
      <c r="N51" cm="1">
        <f t="array" ref="N51">[54]!OPENPRICE</f>
        <v>808</v>
      </c>
      <c r="O51" cm="1">
        <f t="array" ref="O51">[54]!HIGH</f>
        <v>813</v>
      </c>
      <c r="P51" cm="1">
        <f t="array" ref="P51">[54]!LOW</f>
        <v>802</v>
      </c>
      <c r="Q51" cm="1">
        <f t="array" ref="Q51">[54]!TRADEVOLUME</f>
        <v>2944</v>
      </c>
      <c r="R51" cm="1">
        <f t="array" ref="R51">[54]!POSIVOL</f>
        <v>12144</v>
      </c>
      <c r="S51" cm="1">
        <f t="array" ref="S51">[54]!POSIVOLCHANGE</f>
        <v>0</v>
      </c>
      <c r="T51" cm="1">
        <f t="array" ref="T51">[54]!POSIVOLCHANGEDAILY</f>
        <v>342</v>
      </c>
      <c r="U51" t="str" cm="1">
        <f t="array" ref="U51">[54]!INST_STATE</f>
        <v>连续交易</v>
      </c>
      <c r="V51" t="str" cm="1">
        <f t="array" ref="V51">[54]!UPDATETIME</f>
        <v>09:51:37.257</v>
      </c>
      <c r="W51" cm="1">
        <f t="array" ref="W51">[54]!UPPERLIMITPRICE</f>
        <v>857</v>
      </c>
      <c r="X51" cm="1">
        <f t="array" ref="X51">[54]!LOWERLIMITPRICE</f>
        <v>760</v>
      </c>
      <c r="Y51" t="e" cm="1">
        <f t="array" ref="Y51">[54]!CLOSEPRICE</f>
        <v>#N/A</v>
      </c>
      <c r="Z51" t="e" cm="1">
        <f t="array" ref="Z51">[54]!SETTLEPRICE</f>
        <v>#N/A</v>
      </c>
      <c r="AA51" cm="1">
        <f t="array" ref="AA51">[54]!PRECLOSE</f>
        <v>808.5</v>
      </c>
      <c r="AB51" cm="1">
        <f t="array" ref="AB51">[54]!PRESETTLEPRICE</f>
        <v>808.5</v>
      </c>
      <c r="AC51" t="s">
        <v>107</v>
      </c>
      <c r="AD51" t="s">
        <v>161</v>
      </c>
      <c r="AE51">
        <v>90</v>
      </c>
      <c r="AF51">
        <v>20260728</v>
      </c>
      <c r="AG51" t="e" cm="1">
        <f t="array" ref="AG51">[54]!MARGIN</f>
        <v>#N/A</v>
      </c>
      <c r="AH51" t="e" cm="1">
        <f t="array" ref="AH51">[54]!FEE</f>
        <v>#N/A</v>
      </c>
      <c r="AI51" t="s">
        <v>210</v>
      </c>
      <c r="AJ51" cm="1">
        <f t="array" ref="AJ51">[54]!IMPLYBIDVOLUME1</f>
        <v>0</v>
      </c>
      <c r="AK51" t="e" cm="1">
        <f t="array" ref="AK51">[54]!IMPLYBIDPRICE1</f>
        <v>#N/A</v>
      </c>
      <c r="AL51" t="e" cm="1">
        <f t="array" ref="AL51">[54]!IMPLYASKPRICE1</f>
        <v>#N/A</v>
      </c>
      <c r="AM51" cm="1">
        <f t="array" ref="AM51">[54]!IMPLYASKVOLUME1</f>
        <v>0</v>
      </c>
      <c r="AN51" cm="1">
        <f t="array" ref="AN51">[54]!VOLUMEBIDLOT</f>
        <v>0</v>
      </c>
      <c r="AO51" cm="1">
        <f t="array" ref="AO51">[54]!VOLUMEASKLOT</f>
        <v>0</v>
      </c>
    </row>
    <row r="52" spans="1:41" x14ac:dyDescent="0.25">
      <c r="A52" t="s">
        <v>162</v>
      </c>
      <c r="B52" t="s">
        <v>266</v>
      </c>
      <c r="C52" cm="1">
        <f t="array" ref="C52">[55]!NETVOLUME3862909776</f>
        <v>0</v>
      </c>
      <c r="D52" cm="1">
        <f t="array" ref="D52">[55]!LONGPOSITION3862909776</f>
        <v>0</v>
      </c>
      <c r="E52" cm="1">
        <f t="array" ref="E52">[55]!SHORTPOSITION3862909776</f>
        <v>0</v>
      </c>
      <c r="F52" cm="1">
        <f t="array" ref="F52">[55]!MTMPL3862909776</f>
        <v>0</v>
      </c>
      <c r="G52" cm="1">
        <f t="array" ref="G52">[55]!LASTPRICE</f>
        <v>11120</v>
      </c>
      <c r="H52" cm="1">
        <f t="array" ref="H52">[55]!NETCHANGE</f>
        <v>25</v>
      </c>
      <c r="I52" t="str" cm="1">
        <f t="array" ref="I52">[55]!NETCHANGERATE</f>
        <v>+0.23%</v>
      </c>
      <c r="J52" cm="1">
        <f t="array" ref="J52">[55]!BIDVOLUME1</f>
        <v>152</v>
      </c>
      <c r="K52" cm="1">
        <f t="array" ref="K52">[55]!BIDPRICE1</f>
        <v>11120</v>
      </c>
      <c r="L52" cm="1">
        <f t="array" ref="L52">[55]!ASKPRICE1</f>
        <v>11125</v>
      </c>
      <c r="M52" cm="1">
        <f t="array" ref="M52">[55]!ASKVOLUME1</f>
        <v>138</v>
      </c>
      <c r="N52" cm="1">
        <f t="array" ref="N52">[55]!OPENPRICE</f>
        <v>11100</v>
      </c>
      <c r="O52" cm="1">
        <f t="array" ref="O52">[55]!HIGH</f>
        <v>11135</v>
      </c>
      <c r="P52" cm="1">
        <f t="array" ref="P52">[55]!LOW</f>
        <v>10980</v>
      </c>
      <c r="Q52" cm="1">
        <f t="array" ref="Q52">[55]!TRADEVOLUME</f>
        <v>69249</v>
      </c>
      <c r="R52" cm="1">
        <f t="array" ref="R52">[55]!POSIVOL</f>
        <v>157713</v>
      </c>
      <c r="S52" cm="1">
        <f t="array" ref="S52">[55]!POSIVOLCHANGE</f>
        <v>0</v>
      </c>
      <c r="T52" cm="1">
        <f t="array" ref="T52">[55]!POSIVOLCHANGEDAILY</f>
        <v>-502</v>
      </c>
      <c r="U52" t="str" cm="1">
        <f t="array" ref="U52">[55]!INST_STATE</f>
        <v>连续交易</v>
      </c>
      <c r="V52" t="str" cm="1">
        <f t="array" ref="V52">[55]!UPDATETIME</f>
        <v>09:51:32.257</v>
      </c>
      <c r="W52" cm="1">
        <f t="array" ref="W52">[55]!UPPERLIMITPRICE</f>
        <v>11760</v>
      </c>
      <c r="X52" cm="1">
        <f t="array" ref="X52">[55]!LOWERLIMITPRICE</f>
        <v>10430</v>
      </c>
      <c r="Y52" t="e" cm="1">
        <f t="array" ref="Y52">[55]!CLOSEPRICE</f>
        <v>#N/A</v>
      </c>
      <c r="Z52" t="e" cm="1">
        <f t="array" ref="Z52">[55]!SETTLEPRICE</f>
        <v>#N/A</v>
      </c>
      <c r="AA52" cm="1">
        <f t="array" ref="AA52">[55]!PRECLOSE</f>
        <v>11190</v>
      </c>
      <c r="AB52" cm="1">
        <f t="array" ref="AB52">[55]!PRESETTLEPRICE</f>
        <v>11095</v>
      </c>
      <c r="AC52" t="s">
        <v>107</v>
      </c>
      <c r="AD52" t="s">
        <v>163</v>
      </c>
      <c r="AE52">
        <v>16</v>
      </c>
      <c r="AF52">
        <v>20260728</v>
      </c>
      <c r="AG52" t="e" cm="1">
        <f t="array" ref="AG52">[55]!MARGIN</f>
        <v>#N/A</v>
      </c>
      <c r="AH52" t="e" cm="1">
        <f t="array" ref="AH52">[55]!FEE</f>
        <v>#N/A</v>
      </c>
      <c r="AI52" t="s">
        <v>210</v>
      </c>
      <c r="AJ52" cm="1">
        <f t="array" ref="AJ52">[55]!IMPLYBIDVOLUME1</f>
        <v>0</v>
      </c>
      <c r="AK52" t="e" cm="1">
        <f t="array" ref="AK52">[55]!IMPLYBIDPRICE1</f>
        <v>#N/A</v>
      </c>
      <c r="AL52" t="e" cm="1">
        <f t="array" ref="AL52">[55]!IMPLYASKPRICE1</f>
        <v>#N/A</v>
      </c>
      <c r="AM52" cm="1">
        <f t="array" ref="AM52">[55]!IMPLYASKVOLUME1</f>
        <v>0</v>
      </c>
      <c r="AN52" cm="1">
        <f t="array" ref="AN52">[55]!VOLUMEBIDLOT</f>
        <v>0</v>
      </c>
      <c r="AO52" cm="1">
        <f t="array" ref="AO52">[55]!VOLUMEASKLOT</f>
        <v>0</v>
      </c>
    </row>
    <row r="53" spans="1:41" x14ac:dyDescent="0.25">
      <c r="A53" t="s">
        <v>166</v>
      </c>
      <c r="B53" t="s">
        <v>267</v>
      </c>
      <c r="C53" cm="1">
        <f t="array" ref="C53">[57]!NETVOLUME3862909776</f>
        <v>0</v>
      </c>
      <c r="D53" cm="1">
        <f t="array" ref="D53">[57]!LONGPOSITION3862909776</f>
        <v>0</v>
      </c>
      <c r="E53" cm="1">
        <f t="array" ref="E53">[57]!SHORTPOSITION3862909776</f>
        <v>0</v>
      </c>
      <c r="F53" cm="1">
        <f t="array" ref="F53">[57]!MTMPL3862909776</f>
        <v>0</v>
      </c>
      <c r="G53" cm="1">
        <f t="array" ref="G53">[57]!LASTPRICE</f>
        <v>2995</v>
      </c>
      <c r="H53" cm="1">
        <f t="array" ref="H53">[57]!NETCHANGE</f>
        <v>5</v>
      </c>
      <c r="I53" t="str" cm="1">
        <f t="array" ref="I53">[57]!NETCHANGERATE</f>
        <v>+0.17%</v>
      </c>
      <c r="J53" cm="1">
        <f t="array" ref="J53">[57]!BIDVOLUME1</f>
        <v>1679</v>
      </c>
      <c r="K53" cm="1">
        <f t="array" ref="K53">[57]!BIDPRICE1</f>
        <v>2994</v>
      </c>
      <c r="L53" cm="1">
        <f t="array" ref="L53">[57]!ASKPRICE1</f>
        <v>2995</v>
      </c>
      <c r="M53" cm="1">
        <f t="array" ref="M53">[57]!ASKVOLUME1</f>
        <v>348</v>
      </c>
      <c r="N53" cm="1">
        <f t="array" ref="N53">[57]!OPENPRICE</f>
        <v>2995</v>
      </c>
      <c r="O53" cm="1">
        <f t="array" ref="O53">[57]!HIGH</f>
        <v>3009</v>
      </c>
      <c r="P53" cm="1">
        <f t="array" ref="P53">[57]!LOW</f>
        <v>2985</v>
      </c>
      <c r="Q53" cm="1">
        <f t="array" ref="Q53">[57]!TRADEVOLUME</f>
        <v>501414</v>
      </c>
      <c r="R53" cm="1">
        <f t="array" ref="R53">[57]!POSIVOL</f>
        <v>2473869</v>
      </c>
      <c r="S53" cm="1">
        <f t="array" ref="S53">[57]!POSIVOLCHANGE</f>
        <v>0</v>
      </c>
      <c r="T53" cm="1">
        <f t="array" ref="T53">[57]!POSIVOLCHANGEDAILY</f>
        <v>12472</v>
      </c>
      <c r="U53" t="str" cm="1">
        <f t="array" ref="U53">[57]!INST_STATE</f>
        <v>连续交易</v>
      </c>
      <c r="V53" t="str" cm="1">
        <f t="array" ref="V53">[57]!UPDATETIME</f>
        <v>09:51:32.257</v>
      </c>
      <c r="W53" cm="1">
        <f t="array" ref="W53">[57]!UPPERLIMITPRICE</f>
        <v>3169</v>
      </c>
      <c r="X53" cm="1">
        <f t="array" ref="X53">[57]!LOWERLIMITPRICE</f>
        <v>2811</v>
      </c>
      <c r="Y53" t="e" cm="1">
        <f t="array" ref="Y53">[57]!CLOSEPRICE</f>
        <v>#N/A</v>
      </c>
      <c r="Z53" t="e" cm="1">
        <f t="array" ref="Z53">[57]!SETTLEPRICE</f>
        <v>#N/A</v>
      </c>
      <c r="AA53" cm="1">
        <f t="array" ref="AA53">[57]!PRECLOSE</f>
        <v>2990</v>
      </c>
      <c r="AB53" cm="1">
        <f t="array" ref="AB53">[57]!PRESETTLEPRICE</f>
        <v>2990</v>
      </c>
      <c r="AC53" t="s">
        <v>107</v>
      </c>
      <c r="AD53" t="s">
        <v>167</v>
      </c>
      <c r="AE53">
        <v>10</v>
      </c>
      <c r="AF53">
        <v>20260914</v>
      </c>
      <c r="AG53" t="e" cm="1">
        <f t="array" ref="AG53">[57]!MARGIN</f>
        <v>#N/A</v>
      </c>
      <c r="AH53" t="e" cm="1">
        <f t="array" ref="AH53">[57]!FEE</f>
        <v>#N/A</v>
      </c>
      <c r="AI53" t="s">
        <v>210</v>
      </c>
      <c r="AJ53" cm="1">
        <f t="array" ref="AJ53">[57]!IMPLYBIDVOLUME1</f>
        <v>0</v>
      </c>
      <c r="AK53" t="e" cm="1">
        <f t="array" ref="AK53">[57]!IMPLYBIDPRICE1</f>
        <v>#N/A</v>
      </c>
      <c r="AL53" t="e" cm="1">
        <f t="array" ref="AL53">[57]!IMPLYASKPRICE1</f>
        <v>#N/A</v>
      </c>
      <c r="AM53" cm="1">
        <f t="array" ref="AM53">[57]!IMPLYASKVOLUME1</f>
        <v>0</v>
      </c>
      <c r="AN53" cm="1">
        <f t="array" ref="AN53">[57]!VOLUMEBIDLOT</f>
        <v>0</v>
      </c>
      <c r="AO53" cm="1">
        <f t="array" ref="AO53">[57]!VOLUMEASKLOT</f>
        <v>0</v>
      </c>
    </row>
    <row r="54" spans="1:41" x14ac:dyDescent="0.25">
      <c r="A54" t="s">
        <v>174</v>
      </c>
      <c r="B54" t="s">
        <v>268</v>
      </c>
      <c r="C54" cm="1">
        <f t="array" ref="C54">[61]!NETVOLUME3862909776</f>
        <v>0</v>
      </c>
      <c r="D54" cm="1">
        <f t="array" ref="D54">[61]!LONGPOSITION3862909776</f>
        <v>0</v>
      </c>
      <c r="E54" cm="1">
        <f t="array" ref="E54">[61]!SHORTPOSITION3862909776</f>
        <v>0</v>
      </c>
      <c r="F54" cm="1">
        <f t="array" ref="F54">[61]!MTMPL3862909776</f>
        <v>0</v>
      </c>
      <c r="G54" cm="1">
        <f t="array" ref="G54">[61]!LASTPRICE</f>
        <v>9469</v>
      </c>
      <c r="H54" cm="1">
        <f t="array" ref="H54">[61]!NETCHANGE</f>
        <v>-12</v>
      </c>
      <c r="I54" t="str" cm="1">
        <f t="array" ref="I54">[61]!NETCHANGERATE</f>
        <v>-0.13%</v>
      </c>
      <c r="J54" cm="1">
        <f t="array" ref="J54">[61]!BIDVOLUME1</f>
        <v>54</v>
      </c>
      <c r="K54" cm="1">
        <f t="array" ref="K54">[61]!BIDPRICE1</f>
        <v>9469</v>
      </c>
      <c r="L54" cm="1">
        <f t="array" ref="L54">[61]!ASKPRICE1</f>
        <v>9470</v>
      </c>
      <c r="M54" cm="1">
        <f t="array" ref="M54">[61]!ASKVOLUME1</f>
        <v>197</v>
      </c>
      <c r="N54" cm="1">
        <f t="array" ref="N54">[61]!OPENPRICE</f>
        <v>9449</v>
      </c>
      <c r="O54" cm="1">
        <f t="array" ref="O54">[61]!HIGH</f>
        <v>9478</v>
      </c>
      <c r="P54" cm="1">
        <f t="array" ref="P54">[61]!LOW</f>
        <v>9332</v>
      </c>
      <c r="Q54" cm="1">
        <f t="array" ref="Q54">[61]!TRADEVOLUME</f>
        <v>305412</v>
      </c>
      <c r="R54" cm="1">
        <f t="array" ref="R54">[61]!POSIVOL</f>
        <v>502921</v>
      </c>
      <c r="S54" cm="1">
        <f t="array" ref="S54">[61]!POSIVOLCHANGE</f>
        <v>0</v>
      </c>
      <c r="T54" cm="1">
        <f t="array" ref="T54">[61]!POSIVOLCHANGEDAILY</f>
        <v>22483</v>
      </c>
      <c r="U54" t="str" cm="1">
        <f t="array" ref="U54">[61]!INST_STATE</f>
        <v>连续交易</v>
      </c>
      <c r="V54" t="str" cm="1">
        <f t="array" ref="V54">[61]!UPDATETIME</f>
        <v>09:51:32.257</v>
      </c>
      <c r="W54" cm="1">
        <f t="array" ref="W54">[61]!UPPERLIMITPRICE</f>
        <v>10144</v>
      </c>
      <c r="X54" cm="1">
        <f t="array" ref="X54">[61]!LOWERLIMITPRICE</f>
        <v>8818</v>
      </c>
      <c r="Y54" t="e" cm="1">
        <f t="array" ref="Y54">[61]!CLOSEPRICE</f>
        <v>#N/A</v>
      </c>
      <c r="Z54" t="e" cm="1">
        <f t="array" ref="Z54">[61]!SETTLEPRICE</f>
        <v>#N/A</v>
      </c>
      <c r="AA54" cm="1">
        <f t="array" ref="AA54">[61]!PRECLOSE</f>
        <v>9471</v>
      </c>
      <c r="AB54" cm="1">
        <f t="array" ref="AB54">[61]!PRESETTLEPRICE</f>
        <v>9481</v>
      </c>
      <c r="AC54" t="s">
        <v>107</v>
      </c>
      <c r="AD54" t="s">
        <v>175</v>
      </c>
      <c r="AE54">
        <v>10</v>
      </c>
      <c r="AF54">
        <v>20260914</v>
      </c>
      <c r="AG54" t="e" cm="1">
        <f t="array" ref="AG54">[61]!MARGIN</f>
        <v>#N/A</v>
      </c>
      <c r="AH54" t="e" cm="1">
        <f t="array" ref="AH54">[61]!FEE</f>
        <v>#N/A</v>
      </c>
      <c r="AI54" t="s">
        <v>210</v>
      </c>
      <c r="AJ54" cm="1">
        <f t="array" ref="AJ54">[61]!IMPLYBIDVOLUME1</f>
        <v>0</v>
      </c>
      <c r="AK54" t="e" cm="1">
        <f t="array" ref="AK54">[61]!IMPLYBIDPRICE1</f>
        <v>#N/A</v>
      </c>
      <c r="AL54" t="e" cm="1">
        <f t="array" ref="AL54">[61]!IMPLYASKPRICE1</f>
        <v>#N/A</v>
      </c>
      <c r="AM54" cm="1">
        <f t="array" ref="AM54">[61]!IMPLYASKVOLUME1</f>
        <v>0</v>
      </c>
      <c r="AN54" cm="1">
        <f t="array" ref="AN54">[61]!VOLUMEBIDLOT</f>
        <v>0</v>
      </c>
      <c r="AO54" cm="1">
        <f t="array" ref="AO54">[61]!VOLUMEASKLOT</f>
        <v>0</v>
      </c>
    </row>
    <row r="55" spans="1:41" x14ac:dyDescent="0.25">
      <c r="A55" t="s">
        <v>180</v>
      </c>
      <c r="B55" t="s">
        <v>269</v>
      </c>
      <c r="C55" cm="1">
        <f t="array" ref="C55">[64]!NETVOLUME3862909776</f>
        <v>0</v>
      </c>
      <c r="D55" cm="1">
        <f t="array" ref="D55">[64]!LONGPOSITION3862909776</f>
        <v>0</v>
      </c>
      <c r="E55" cm="1">
        <f t="array" ref="E55">[64]!SHORTPOSITION3862909776</f>
        <v>0</v>
      </c>
      <c r="F55" cm="1">
        <f t="array" ref="F55">[64]!MTMPL3862909776</f>
        <v>0</v>
      </c>
      <c r="G55" cm="1">
        <f t="array" ref="G55">[64]!LASTPRICE</f>
        <v>5782</v>
      </c>
      <c r="H55" cm="1">
        <f t="array" ref="H55">[64]!NETCHANGE</f>
        <v>28</v>
      </c>
      <c r="I55" t="str" cm="1">
        <f t="array" ref="I55">[64]!NETCHANGERATE</f>
        <v>+0.49%</v>
      </c>
      <c r="J55" cm="1">
        <f t="array" ref="J55">[64]!BIDVOLUME1</f>
        <v>2</v>
      </c>
      <c r="K55" cm="1">
        <f t="array" ref="K55">[64]!BIDPRICE1</f>
        <v>5781</v>
      </c>
      <c r="L55" cm="1">
        <f t="array" ref="L55">[64]!ASKPRICE1</f>
        <v>5782</v>
      </c>
      <c r="M55" cm="1">
        <f t="array" ref="M55">[64]!ASKVOLUME1</f>
        <v>5</v>
      </c>
      <c r="N55" cm="1">
        <f t="array" ref="N55">[64]!OPENPRICE</f>
        <v>5906</v>
      </c>
      <c r="O55" cm="1">
        <f t="array" ref="O55">[64]!HIGH</f>
        <v>5912</v>
      </c>
      <c r="P55" cm="1">
        <f t="array" ref="P55">[64]!LOW</f>
        <v>5682</v>
      </c>
      <c r="Q55" cm="1">
        <f t="array" ref="Q55">[64]!TRADEVOLUME</f>
        <v>74437</v>
      </c>
      <c r="R55" cm="1">
        <f t="array" ref="R55">[64]!POSIVOL</f>
        <v>95252</v>
      </c>
      <c r="S55" cm="1">
        <f t="array" ref="S55">[64]!POSIVOLCHANGE</f>
        <v>0</v>
      </c>
      <c r="T55" cm="1">
        <f t="array" ref="T55">[64]!POSIVOLCHANGEDAILY</f>
        <v>-1836</v>
      </c>
      <c r="U55" t="str" cm="1">
        <f t="array" ref="U55">[64]!INST_STATE</f>
        <v>连续交易</v>
      </c>
      <c r="V55" t="str" cm="1">
        <f t="array" ref="V55">[64]!UPDATETIME</f>
        <v>09:51:32.257</v>
      </c>
      <c r="W55" cm="1">
        <f t="array" ref="W55">[64]!UPPERLIMITPRICE</f>
        <v>6802</v>
      </c>
      <c r="X55" cm="1">
        <f t="array" ref="X55">[64]!LOWERLIMITPRICE</f>
        <v>5132</v>
      </c>
      <c r="Y55" t="e" cm="1">
        <f t="array" ref="Y55">[64]!CLOSEPRICE</f>
        <v>#N/A</v>
      </c>
      <c r="Z55" t="e" cm="1">
        <f t="array" ref="Z55">[64]!SETTLEPRICE</f>
        <v>#N/A</v>
      </c>
      <c r="AA55" cm="1">
        <f t="array" ref="AA55">[64]!PRECLOSE</f>
        <v>5948</v>
      </c>
      <c r="AB55" cm="1">
        <f t="array" ref="AB55">[64]!PRESETTLEPRICE</f>
        <v>5754</v>
      </c>
      <c r="AC55" t="s">
        <v>107</v>
      </c>
      <c r="AD55" t="s">
        <v>181</v>
      </c>
      <c r="AE55">
        <v>20</v>
      </c>
      <c r="AF55">
        <v>20260728</v>
      </c>
      <c r="AG55" t="e" cm="1">
        <f t="array" ref="AG55">[64]!MARGIN</f>
        <v>#N/A</v>
      </c>
      <c r="AH55" t="e" cm="1">
        <f t="array" ref="AH55">[64]!FEE</f>
        <v>#N/A</v>
      </c>
      <c r="AI55" t="s">
        <v>210</v>
      </c>
      <c r="AJ55" cm="1">
        <f t="array" ref="AJ55">[64]!IMPLYBIDVOLUME1</f>
        <v>0</v>
      </c>
      <c r="AK55" t="e" cm="1">
        <f t="array" ref="AK55">[64]!IMPLYBIDPRICE1</f>
        <v>#N/A</v>
      </c>
      <c r="AL55" t="e" cm="1">
        <f t="array" ref="AL55">[64]!IMPLYASKPRICE1</f>
        <v>#N/A</v>
      </c>
      <c r="AM55" cm="1">
        <f t="array" ref="AM55">[64]!IMPLYASKVOLUME1</f>
        <v>0</v>
      </c>
      <c r="AN55" cm="1">
        <f t="array" ref="AN55">[64]!VOLUMEBIDLOT</f>
        <v>0</v>
      </c>
      <c r="AO55" cm="1">
        <f t="array" ref="AO55">[64]!VOLUMEASKLOT</f>
        <v>0</v>
      </c>
    </row>
    <row r="56" spans="1:41" x14ac:dyDescent="0.25">
      <c r="A56" t="s">
        <v>182</v>
      </c>
      <c r="B56" t="s">
        <v>270</v>
      </c>
      <c r="C56" cm="1">
        <f t="array" ref="C56">[65]!NETVOLUME3862909776</f>
        <v>0</v>
      </c>
      <c r="D56" cm="1">
        <f t="array" ref="D56">[65]!LONGPOSITION3862909776</f>
        <v>0</v>
      </c>
      <c r="E56" cm="1">
        <f t="array" ref="E56">[65]!SHORTPOSITION3862909776</f>
        <v>0</v>
      </c>
      <c r="F56" cm="1">
        <f t="array" ref="F56">[65]!MTMPL3862909776</f>
        <v>0</v>
      </c>
      <c r="G56" cm="1">
        <f t="array" ref="G56">[65]!LASTPRICE</f>
        <v>8725</v>
      </c>
      <c r="H56" cm="1">
        <f t="array" ref="H56">[65]!NETCHANGE</f>
        <v>-88</v>
      </c>
      <c r="I56" t="str" cm="1">
        <f t="array" ref="I56">[65]!NETCHANGERATE</f>
        <v>-1.00%</v>
      </c>
      <c r="J56" cm="1">
        <f t="array" ref="J56">[65]!BIDVOLUME1</f>
        <v>26</v>
      </c>
      <c r="K56" cm="1">
        <f t="array" ref="K56">[65]!BIDPRICE1</f>
        <v>8724</v>
      </c>
      <c r="L56" cm="1">
        <f t="array" ref="L56">[65]!ASKPRICE1</f>
        <v>8725</v>
      </c>
      <c r="M56" cm="1">
        <f t="array" ref="M56">[65]!ASKVOLUME1</f>
        <v>16</v>
      </c>
      <c r="N56" cm="1">
        <f t="array" ref="N56">[65]!OPENPRICE</f>
        <v>8740</v>
      </c>
      <c r="O56" cm="1">
        <f t="array" ref="O56">[65]!HIGH</f>
        <v>8867</v>
      </c>
      <c r="P56" cm="1">
        <f t="array" ref="P56">[65]!LOW</f>
        <v>8690</v>
      </c>
      <c r="Q56" cm="1">
        <f t="array" ref="Q56">[65]!TRADEVOLUME</f>
        <v>464015</v>
      </c>
      <c r="R56" cm="1">
        <f t="array" ref="R56">[65]!POSIVOL</f>
        <v>577530</v>
      </c>
      <c r="S56" cm="1">
        <f t="array" ref="S56">[65]!POSIVOLCHANGE</f>
        <v>0</v>
      </c>
      <c r="T56" cm="1">
        <f t="array" ref="T56">[65]!POSIVOLCHANGEDAILY</f>
        <v>-7054</v>
      </c>
      <c r="U56" t="str" cm="1">
        <f t="array" ref="U56">[65]!INST_STATE</f>
        <v>连续交易</v>
      </c>
      <c r="V56" t="str" cm="1">
        <f t="array" ref="V56">[65]!UPDATETIME</f>
        <v>09:51:32.257</v>
      </c>
      <c r="W56" cm="1">
        <f t="array" ref="W56">[65]!UPPERLIMITPRICE</f>
        <v>9606</v>
      </c>
      <c r="X56" cm="1">
        <f t="array" ref="X56">[65]!LOWERLIMITPRICE</f>
        <v>8020</v>
      </c>
      <c r="Y56" t="e" cm="1">
        <f t="array" ref="Y56">[65]!CLOSEPRICE</f>
        <v>#N/A</v>
      </c>
      <c r="Z56" t="e" cm="1">
        <f t="array" ref="Z56">[65]!SETTLEPRICE</f>
        <v>#N/A</v>
      </c>
      <c r="AA56" cm="1">
        <f t="array" ref="AA56">[65]!PRECLOSE</f>
        <v>8792</v>
      </c>
      <c r="AB56" cm="1">
        <f t="array" ref="AB56">[65]!PRESETTLEPRICE</f>
        <v>8813</v>
      </c>
      <c r="AC56" t="s">
        <v>107</v>
      </c>
      <c r="AD56" t="s">
        <v>183</v>
      </c>
      <c r="AE56">
        <v>5</v>
      </c>
      <c r="AF56">
        <v>20260914</v>
      </c>
      <c r="AG56" t="e" cm="1">
        <f t="array" ref="AG56">[65]!MARGIN</f>
        <v>#N/A</v>
      </c>
      <c r="AH56" t="e" cm="1">
        <f t="array" ref="AH56">[65]!FEE</f>
        <v>#N/A</v>
      </c>
      <c r="AI56" t="s">
        <v>210</v>
      </c>
      <c r="AJ56" cm="1">
        <f t="array" ref="AJ56">[65]!IMPLYBIDVOLUME1</f>
        <v>0</v>
      </c>
      <c r="AK56" t="e" cm="1">
        <f t="array" ref="AK56">[65]!IMPLYBIDPRICE1</f>
        <v>#N/A</v>
      </c>
      <c r="AL56" t="e" cm="1">
        <f t="array" ref="AL56">[65]!IMPLYASKPRICE1</f>
        <v>#N/A</v>
      </c>
      <c r="AM56" cm="1">
        <f t="array" ref="AM56">[65]!IMPLYASKVOLUME1</f>
        <v>0</v>
      </c>
      <c r="AN56" cm="1">
        <f t="array" ref="AN56">[65]!VOLUMEBIDLOT</f>
        <v>0</v>
      </c>
      <c r="AO56" cm="1">
        <f t="array" ref="AO56">[65]!VOLUMEASKLOT</f>
        <v>0</v>
      </c>
    </row>
    <row r="57" spans="1:41" x14ac:dyDescent="0.25">
      <c r="A57" t="s">
        <v>271</v>
      </c>
      <c r="B57" t="s">
        <v>271</v>
      </c>
      <c r="C57" cm="1">
        <f t="array" ref="C57">[83]!NETVOLUME3862909776</f>
        <v>0</v>
      </c>
      <c r="D57" cm="1">
        <f t="array" ref="D57">[83]!LONGPOSITION3862909776</f>
        <v>0</v>
      </c>
      <c r="E57" cm="1">
        <f t="array" ref="E57">[83]!SHORTPOSITION3862909776</f>
        <v>0</v>
      </c>
      <c r="F57" cm="1">
        <f t="array" ref="F57">[83]!MTMPL3862909776</f>
        <v>0</v>
      </c>
      <c r="G57" cm="1">
        <f t="array" ref="G57">[83]!LASTPRICE</f>
        <v>8725</v>
      </c>
      <c r="H57" cm="1">
        <f t="array" ref="H57">[83]!NETCHANGE</f>
        <v>-88</v>
      </c>
      <c r="I57" t="str" cm="1">
        <f t="array" ref="I57">[83]!NETCHANGERATE</f>
        <v>-1.00%</v>
      </c>
      <c r="J57" cm="1">
        <f t="array" ref="J57">[83]!BIDVOLUME1</f>
        <v>33</v>
      </c>
      <c r="K57" cm="1">
        <f t="array" ref="K57">[83]!BIDPRICE1</f>
        <v>8721</v>
      </c>
      <c r="L57" cm="1">
        <f t="array" ref="L57">[83]!ASKPRICE1</f>
        <v>8725</v>
      </c>
      <c r="M57" cm="1">
        <f t="array" ref="M57">[83]!ASKVOLUME1</f>
        <v>3</v>
      </c>
      <c r="N57" cm="1">
        <f t="array" ref="N57">[83]!OPENPRICE</f>
        <v>8709</v>
      </c>
      <c r="O57" cm="1">
        <f t="array" ref="O57">[83]!HIGH</f>
        <v>8861</v>
      </c>
      <c r="P57" cm="1">
        <f t="array" ref="P57">[83]!LOW</f>
        <v>8700</v>
      </c>
      <c r="Q57" cm="1">
        <f t="array" ref="Q57">[83]!TRADEVOLUME</f>
        <v>3178</v>
      </c>
      <c r="R57" cm="1">
        <f t="array" ref="R57">[83]!POSIVOL</f>
        <v>8631</v>
      </c>
      <c r="S57" cm="1">
        <f t="array" ref="S57">[83]!POSIVOLCHANGE</f>
        <v>0</v>
      </c>
      <c r="T57" cm="1">
        <f t="array" ref="T57">[83]!POSIVOLCHANGEDAILY</f>
        <v>280</v>
      </c>
      <c r="U57" t="str" cm="1">
        <f t="array" ref="U57">[83]!INST_STATE</f>
        <v>连续交易</v>
      </c>
      <c r="V57" t="str" cm="1">
        <f t="array" ref="V57">[83]!UPDATETIME</f>
        <v>09:51:32.257</v>
      </c>
      <c r="W57" cm="1">
        <f t="array" ref="W57">[83]!UPPERLIMITPRICE</f>
        <v>9606</v>
      </c>
      <c r="X57" cm="1">
        <f t="array" ref="X57">[83]!LOWERLIMITPRICE</f>
        <v>8020</v>
      </c>
      <c r="Y57" t="e" cm="1">
        <f t="array" ref="Y57">[83]!CLOSEPRICE</f>
        <v>#N/A</v>
      </c>
      <c r="Z57" t="e" cm="1">
        <f t="array" ref="Z57">[83]!SETTLEPRICE</f>
        <v>#N/A</v>
      </c>
      <c r="AA57" cm="1">
        <f t="array" ref="AA57">[83]!PRECLOSE</f>
        <v>8789</v>
      </c>
      <c r="AB57" cm="1">
        <f t="array" ref="AB57">[83]!PRESETTLEPRICE</f>
        <v>8813</v>
      </c>
      <c r="AC57" t="s">
        <v>107</v>
      </c>
      <c r="AD57" t="s">
        <v>272</v>
      </c>
      <c r="AE57">
        <v>5</v>
      </c>
      <c r="AF57">
        <v>20260831</v>
      </c>
      <c r="AG57" t="e" cm="1">
        <f t="array" ref="AG57">[83]!MARGIN</f>
        <v>#N/A</v>
      </c>
      <c r="AH57" t="e" cm="1">
        <f t="array" ref="AH57">[83]!FEE</f>
        <v>#N/A</v>
      </c>
      <c r="AI57" t="s">
        <v>210</v>
      </c>
      <c r="AJ57" cm="1">
        <f t="array" ref="AJ57">[83]!IMPLYBIDVOLUME1</f>
        <v>0</v>
      </c>
      <c r="AK57" t="e" cm="1">
        <f t="array" ref="AK57">[83]!IMPLYBIDPRICE1</f>
        <v>#N/A</v>
      </c>
      <c r="AL57" t="e" cm="1">
        <f t="array" ref="AL57">[83]!IMPLYASKPRICE1</f>
        <v>#N/A</v>
      </c>
      <c r="AM57" cm="1">
        <f t="array" ref="AM57">[83]!IMPLYASKVOLUME1</f>
        <v>0</v>
      </c>
      <c r="AN57" cm="1">
        <f t="array" ref="AN57">[83]!VOLUMEBIDLOT</f>
        <v>0</v>
      </c>
      <c r="AO57" cm="1">
        <f t="array" ref="AO57">[83]!VOLUMEASKLOT</f>
        <v>0</v>
      </c>
    </row>
    <row r="58" spans="1:41" x14ac:dyDescent="0.25">
      <c r="A58" t="s">
        <v>188</v>
      </c>
      <c r="B58" t="s">
        <v>273</v>
      </c>
      <c r="C58" cm="1">
        <f t="array" ref="C58">[67]!NETVOLUME3862909776</f>
        <v>0</v>
      </c>
      <c r="D58" cm="1">
        <f t="array" ref="D58">[67]!LONGPOSITION3862909776</f>
        <v>0</v>
      </c>
      <c r="E58" cm="1">
        <f t="array" ref="E58">[67]!SHORTPOSITION3862909776</f>
        <v>0</v>
      </c>
      <c r="F58" cm="1">
        <f t="array" ref="F58">[67]!MTMPL3862909776</f>
        <v>0</v>
      </c>
      <c r="G58" cm="1">
        <f t="array" ref="G58">[67]!LASTPRICE</f>
        <v>3546</v>
      </c>
      <c r="H58" cm="1">
        <f t="array" ref="H58">[67]!NETCHANGE</f>
        <v>1</v>
      </c>
      <c r="I58" t="str" cm="1">
        <f t="array" ref="I58">[67]!NETCHANGERATE</f>
        <v>+0.03%</v>
      </c>
      <c r="J58" cm="1">
        <f t="array" ref="J58">[67]!BIDVOLUME1</f>
        <v>45</v>
      </c>
      <c r="K58" cm="1">
        <f t="array" ref="K58">[67]!BIDPRICE1</f>
        <v>3545</v>
      </c>
      <c r="L58" cm="1">
        <f t="array" ref="L58">[67]!ASKPRICE1</f>
        <v>3546</v>
      </c>
      <c r="M58" cm="1">
        <f t="array" ref="M58">[67]!ASKVOLUME1</f>
        <v>62</v>
      </c>
      <c r="N58" cm="1">
        <f t="array" ref="N58">[67]!OPENPRICE</f>
        <v>3544</v>
      </c>
      <c r="O58" cm="1">
        <f t="array" ref="O58">[67]!HIGH</f>
        <v>3548</v>
      </c>
      <c r="P58" cm="1">
        <f t="array" ref="P58">[67]!LOW</f>
        <v>3543</v>
      </c>
      <c r="Q58" cm="1">
        <f t="array" ref="Q58">[67]!TRADEVOLUME</f>
        <v>1478</v>
      </c>
      <c r="R58" cm="1">
        <f t="array" ref="R58">[67]!POSIVOL</f>
        <v>28088</v>
      </c>
      <c r="S58" cm="1">
        <f t="array" ref="S58">[67]!POSIVOLCHANGE</f>
        <v>0</v>
      </c>
      <c r="T58" cm="1">
        <f t="array" ref="T58">[67]!POSIVOLCHANGEDAILY</f>
        <v>94</v>
      </c>
      <c r="U58" t="str" cm="1">
        <f t="array" ref="U58">[67]!INST_STATE</f>
        <v>连续交易</v>
      </c>
      <c r="V58" t="str" cm="1">
        <f t="array" ref="V58">[67]!UPDATETIME</f>
        <v>09:51:56.757</v>
      </c>
      <c r="W58" cm="1">
        <f t="array" ref="W58">[67]!UPPERLIMITPRICE</f>
        <v>3720</v>
      </c>
      <c r="X58" cm="1">
        <f t="array" ref="X58">[67]!LOWERLIMITPRICE</f>
        <v>3366</v>
      </c>
      <c r="Y58" t="e" cm="1">
        <f t="array" ref="Y58">[67]!CLOSEPRICE</f>
        <v>#N/A</v>
      </c>
      <c r="Z58" t="e" cm="1">
        <f t="array" ref="Z58">[67]!SETTLEPRICE</f>
        <v>#N/A</v>
      </c>
      <c r="AA58" cm="1">
        <f t="array" ref="AA58">[67]!PRECLOSE</f>
        <v>3544</v>
      </c>
      <c r="AB58" cm="1">
        <f t="array" ref="AB58">[67]!PRESETTLEPRICE</f>
        <v>3545</v>
      </c>
      <c r="AC58" t="s">
        <v>107</v>
      </c>
      <c r="AD58" t="s">
        <v>189</v>
      </c>
      <c r="AE58">
        <v>10</v>
      </c>
      <c r="AF58">
        <v>20260714</v>
      </c>
      <c r="AG58" t="e" cm="1">
        <f t="array" ref="AG58">[67]!MARGIN</f>
        <v>#N/A</v>
      </c>
      <c r="AH58" t="e" cm="1">
        <f t="array" ref="AH58">[67]!FEE</f>
        <v>#N/A</v>
      </c>
      <c r="AI58" t="s">
        <v>210</v>
      </c>
      <c r="AJ58" cm="1">
        <f t="array" ref="AJ58">[67]!IMPLYBIDVOLUME1</f>
        <v>0</v>
      </c>
      <c r="AK58" t="e" cm="1">
        <f t="array" ref="AK58">[67]!IMPLYBIDPRICE1</f>
        <v>#N/A</v>
      </c>
      <c r="AL58" t="e" cm="1">
        <f t="array" ref="AL58">[67]!IMPLYASKPRICE1</f>
        <v>#N/A</v>
      </c>
      <c r="AM58" cm="1">
        <f t="array" ref="AM58">[67]!IMPLYASKVOLUME1</f>
        <v>0</v>
      </c>
      <c r="AN58" cm="1">
        <f t="array" ref="AN58">[67]!VOLUMEBIDLOT</f>
        <v>0</v>
      </c>
      <c r="AO58" cm="1">
        <f t="array" ref="AO58">[67]!VOLUMEASKLOT</f>
        <v>0</v>
      </c>
    </row>
    <row r="59" spans="1:41" x14ac:dyDescent="0.25">
      <c r="A59" t="s">
        <v>202</v>
      </c>
      <c r="B59" t="s">
        <v>274</v>
      </c>
      <c r="C59" cm="1">
        <f t="array" ref="C59">[74]!NETVOLUME3862909776</f>
        <v>0</v>
      </c>
      <c r="D59" cm="1">
        <f t="array" ref="D59">[74]!LONGPOSITION3862909776</f>
        <v>0</v>
      </c>
      <c r="E59" cm="1">
        <f t="array" ref="E59">[74]!SHORTPOSITION3862909776</f>
        <v>0</v>
      </c>
      <c r="F59" cm="1">
        <f t="array" ref="F59">[74]!MTMPL3862909776</f>
        <v>0</v>
      </c>
      <c r="G59" cm="1">
        <f t="array" ref="G59">[74]!LASTPRICE</f>
        <v>4913</v>
      </c>
      <c r="H59" cm="1">
        <f t="array" ref="H59">[74]!NETCHANGE</f>
        <v>70</v>
      </c>
      <c r="I59" t="str" cm="1">
        <f t="array" ref="I59">[74]!NETCHANGERATE</f>
        <v>+1.45%</v>
      </c>
      <c r="J59" cm="1">
        <f t="array" ref="J59">[74]!BIDVOLUME1</f>
        <v>143</v>
      </c>
      <c r="K59" cm="1">
        <f t="array" ref="K59">[74]!BIDPRICE1</f>
        <v>4912</v>
      </c>
      <c r="L59" cm="1">
        <f t="array" ref="L59">[74]!ASKPRICE1</f>
        <v>4913</v>
      </c>
      <c r="M59" cm="1">
        <f t="array" ref="M59">[74]!ASKVOLUME1</f>
        <v>60</v>
      </c>
      <c r="N59" cm="1">
        <f t="array" ref="N59">[74]!OPENPRICE</f>
        <v>4830</v>
      </c>
      <c r="O59" cm="1">
        <f t="array" ref="O59">[74]!HIGH</f>
        <v>4949</v>
      </c>
      <c r="P59" cm="1">
        <f t="array" ref="P59">[74]!LOW</f>
        <v>4826</v>
      </c>
      <c r="Q59" cm="1">
        <f t="array" ref="Q59">[74]!TRADEVOLUME</f>
        <v>665627</v>
      </c>
      <c r="R59" cm="1">
        <f t="array" ref="R59">[74]!POSIVOL</f>
        <v>1095791</v>
      </c>
      <c r="S59" cm="1">
        <f t="array" ref="S59">[74]!POSIVOLCHANGE</f>
        <v>0</v>
      </c>
      <c r="T59" cm="1">
        <f t="array" ref="T59">[74]!POSIVOLCHANGEDAILY</f>
        <v>-18311</v>
      </c>
      <c r="U59" t="str" cm="1">
        <f t="array" ref="U59">[74]!INST_STATE</f>
        <v>连续交易</v>
      </c>
      <c r="V59" t="str" cm="1">
        <f t="array" ref="V59">[74]!UPDATETIME</f>
        <v>09:51:32.257</v>
      </c>
      <c r="W59" cm="1">
        <f t="array" ref="W59">[74]!UPPERLIMITPRICE</f>
        <v>5278</v>
      </c>
      <c r="X59" cm="1">
        <f t="array" ref="X59">[74]!LOWERLIMITPRICE</f>
        <v>4408</v>
      </c>
      <c r="Y59" t="e" cm="1">
        <f t="array" ref="Y59">[74]!CLOSEPRICE</f>
        <v>#N/A</v>
      </c>
      <c r="Z59" t="e" cm="1">
        <f t="array" ref="Z59">[74]!SETTLEPRICE</f>
        <v>#N/A</v>
      </c>
      <c r="AA59" cm="1">
        <f t="array" ref="AA59">[74]!PRECLOSE</f>
        <v>4846</v>
      </c>
      <c r="AB59" cm="1">
        <f t="array" ref="AB59">[74]!PRESETTLEPRICE</f>
        <v>4843</v>
      </c>
      <c r="AC59" t="s">
        <v>107</v>
      </c>
      <c r="AD59" t="s">
        <v>203</v>
      </c>
      <c r="AE59">
        <v>5</v>
      </c>
      <c r="AF59">
        <v>20260914</v>
      </c>
      <c r="AG59" t="e" cm="1">
        <f t="array" ref="AG59">[74]!MARGIN</f>
        <v>#N/A</v>
      </c>
      <c r="AH59" t="e" cm="1">
        <f t="array" ref="AH59">[74]!FEE</f>
        <v>#N/A</v>
      </c>
      <c r="AI59" t="s">
        <v>210</v>
      </c>
      <c r="AJ59" cm="1">
        <f t="array" ref="AJ59">[74]!IMPLYBIDVOLUME1</f>
        <v>0</v>
      </c>
      <c r="AK59" t="e" cm="1">
        <f t="array" ref="AK59">[74]!IMPLYBIDPRICE1</f>
        <v>#N/A</v>
      </c>
      <c r="AL59" t="e" cm="1">
        <f t="array" ref="AL59">[74]!IMPLYASKPRICE1</f>
        <v>#N/A</v>
      </c>
      <c r="AM59" cm="1">
        <f t="array" ref="AM59">[74]!IMPLYASKVOLUME1</f>
        <v>0</v>
      </c>
      <c r="AN59" cm="1">
        <f t="array" ref="AN59">[74]!VOLUMEBIDLOT</f>
        <v>0</v>
      </c>
      <c r="AO59" cm="1">
        <f t="array" ref="AO59">[74]!VOLUMEASKLOT</f>
        <v>0</v>
      </c>
    </row>
    <row r="60" spans="1:41" x14ac:dyDescent="0.25">
      <c r="A60" t="s">
        <v>275</v>
      </c>
      <c r="B60" t="s">
        <v>275</v>
      </c>
      <c r="C60" cm="1">
        <f t="array" ref="C60">[84]!NETVOLUME3862909776</f>
        <v>0</v>
      </c>
      <c r="D60" cm="1">
        <f t="array" ref="D60">[84]!LONGPOSITION3862909776</f>
        <v>0</v>
      </c>
      <c r="E60" cm="1">
        <f t="array" ref="E60">[84]!SHORTPOSITION3862909776</f>
        <v>0</v>
      </c>
      <c r="F60" cm="1">
        <f t="array" ref="F60">[84]!MTMPL3862909776</f>
        <v>0</v>
      </c>
      <c r="G60" cm="1">
        <f t="array" ref="G60">[84]!LASTPRICE</f>
        <v>4917</v>
      </c>
      <c r="H60" cm="1">
        <f t="array" ref="H60">[84]!NETCHANGE</f>
        <v>74</v>
      </c>
      <c r="I60" t="str" cm="1">
        <f t="array" ref="I60">[84]!NETCHANGERATE</f>
        <v>+1.53%</v>
      </c>
      <c r="J60" cm="1">
        <f t="array" ref="J60">[84]!BIDVOLUME1</f>
        <v>19</v>
      </c>
      <c r="K60" cm="1">
        <f t="array" ref="K60">[84]!BIDPRICE1</f>
        <v>4910</v>
      </c>
      <c r="L60" cm="1">
        <f t="array" ref="L60">[84]!ASKPRICE1</f>
        <v>4913</v>
      </c>
      <c r="M60" cm="1">
        <f t="array" ref="M60">[84]!ASKVOLUME1</f>
        <v>70</v>
      </c>
      <c r="N60" cm="1">
        <f t="array" ref="N60">[84]!OPENPRICE</f>
        <v>4832</v>
      </c>
      <c r="O60" cm="1">
        <f t="array" ref="O60">[84]!HIGH</f>
        <v>4949</v>
      </c>
      <c r="P60" cm="1">
        <f t="array" ref="P60">[84]!LOW</f>
        <v>4827</v>
      </c>
      <c r="Q60" cm="1">
        <f t="array" ref="Q60">[84]!TRADEVOLUME</f>
        <v>3401</v>
      </c>
      <c r="R60" cm="1">
        <f t="array" ref="R60">[84]!POSIVOL</f>
        <v>4848</v>
      </c>
      <c r="S60" cm="1">
        <f t="array" ref="S60">[84]!POSIVOLCHANGE</f>
        <v>0</v>
      </c>
      <c r="T60" cm="1">
        <f t="array" ref="T60">[84]!POSIVOLCHANGEDAILY</f>
        <v>37</v>
      </c>
      <c r="U60" t="str" cm="1">
        <f t="array" ref="U60">[84]!INST_STATE</f>
        <v>连续交易</v>
      </c>
      <c r="V60" t="str" cm="1">
        <f t="array" ref="V60">[84]!UPDATETIME</f>
        <v>09:51:31.757</v>
      </c>
      <c r="W60" cm="1">
        <f t="array" ref="W60">[84]!UPPERLIMITPRICE</f>
        <v>5278</v>
      </c>
      <c r="X60" cm="1">
        <f t="array" ref="X60">[84]!LOWERLIMITPRICE</f>
        <v>4408</v>
      </c>
      <c r="Y60" t="e" cm="1">
        <f t="array" ref="Y60">[84]!CLOSEPRICE</f>
        <v>#N/A</v>
      </c>
      <c r="Z60" t="e" cm="1">
        <f t="array" ref="Z60">[84]!SETTLEPRICE</f>
        <v>#N/A</v>
      </c>
      <c r="AA60" cm="1">
        <f t="array" ref="AA60">[84]!PRECLOSE</f>
        <v>4846</v>
      </c>
      <c r="AB60" cm="1">
        <f t="array" ref="AB60">[84]!PRESETTLEPRICE</f>
        <v>4843</v>
      </c>
      <c r="AC60" t="s">
        <v>107</v>
      </c>
      <c r="AD60" t="s">
        <v>276</v>
      </c>
      <c r="AE60">
        <v>5</v>
      </c>
      <c r="AF60">
        <v>20260831</v>
      </c>
      <c r="AG60" t="e" cm="1">
        <f t="array" ref="AG60">[84]!MARGIN</f>
        <v>#N/A</v>
      </c>
      <c r="AH60" t="e" cm="1">
        <f t="array" ref="AH60">[84]!FEE</f>
        <v>#N/A</v>
      </c>
      <c r="AI60" t="s">
        <v>210</v>
      </c>
      <c r="AJ60" cm="1">
        <f t="array" ref="AJ60">[84]!IMPLYBIDVOLUME1</f>
        <v>0</v>
      </c>
      <c r="AK60" t="e" cm="1">
        <f t="array" ref="AK60">[84]!IMPLYBIDPRICE1</f>
        <v>#N/A</v>
      </c>
      <c r="AL60" t="e" cm="1">
        <f t="array" ref="AL60">[84]!IMPLYASKPRICE1</f>
        <v>#N/A</v>
      </c>
      <c r="AM60" cm="1">
        <f t="array" ref="AM60">[84]!IMPLYASKVOLUME1</f>
        <v>0</v>
      </c>
      <c r="AN60" cm="1">
        <f t="array" ref="AN60">[84]!VOLUMEBIDLOT</f>
        <v>0</v>
      </c>
      <c r="AO60" cm="1">
        <f t="array" ref="AO60">[84]!VOLUMEASKLOT</f>
        <v>0</v>
      </c>
    </row>
    <row r="61" spans="1:41" x14ac:dyDescent="0.25">
      <c r="A61" t="s">
        <v>206</v>
      </c>
      <c r="B61" t="s">
        <v>277</v>
      </c>
      <c r="C61" cm="1">
        <f t="array" ref="C61">[76]!NETVOLUME3862909776</f>
        <v>0</v>
      </c>
      <c r="D61" cm="1">
        <f t="array" ref="D61">[76]!LONGPOSITION3862909776</f>
        <v>0</v>
      </c>
      <c r="E61" cm="1">
        <f t="array" ref="E61">[76]!SHORTPOSITION3862909776</f>
        <v>0</v>
      </c>
      <c r="F61" cm="1">
        <f t="array" ref="F61">[76]!MTMPL3862909776</f>
        <v>0</v>
      </c>
      <c r="G61" cm="1">
        <f t="array" ref="G61">[76]!LASTPRICE</f>
        <v>8461</v>
      </c>
      <c r="H61" cm="1">
        <f t="array" ref="H61">[76]!NETCHANGE</f>
        <v>-53</v>
      </c>
      <c r="I61" t="str" cm="1">
        <f t="array" ref="I61">[76]!NETCHANGERATE</f>
        <v>-0.62%</v>
      </c>
      <c r="J61" cm="1">
        <f t="array" ref="J61">[76]!BIDVOLUME1</f>
        <v>55</v>
      </c>
      <c r="K61" cm="1">
        <f t="array" ref="K61">[76]!BIDPRICE1</f>
        <v>8461</v>
      </c>
      <c r="L61" cm="1">
        <f t="array" ref="L61">[76]!ASKPRICE1</f>
        <v>8462</v>
      </c>
      <c r="M61" cm="1">
        <f t="array" ref="M61">[76]!ASKVOLUME1</f>
        <v>5</v>
      </c>
      <c r="N61" cm="1">
        <f t="array" ref="N61">[76]!OPENPRICE</f>
        <v>8495</v>
      </c>
      <c r="O61" cm="1">
        <f t="array" ref="O61">[76]!HIGH</f>
        <v>8502</v>
      </c>
      <c r="P61" cm="1">
        <f t="array" ref="P61">[76]!LOW</f>
        <v>8422</v>
      </c>
      <c r="Q61" cm="1">
        <f t="array" ref="Q61">[76]!TRADEVOLUME</f>
        <v>145890</v>
      </c>
      <c r="R61" cm="1">
        <f t="array" ref="R61">[76]!POSIVOL</f>
        <v>662198</v>
      </c>
      <c r="S61" cm="1">
        <f t="array" ref="S61">[76]!POSIVOLCHANGE</f>
        <v>0</v>
      </c>
      <c r="T61" cm="1">
        <f t="array" ref="T61">[76]!POSIVOLCHANGEDAILY</f>
        <v>5214</v>
      </c>
      <c r="U61" t="str" cm="1">
        <f t="array" ref="U61">[76]!INST_STATE</f>
        <v>连续交易</v>
      </c>
      <c r="V61" t="str" cm="1">
        <f t="array" ref="V61">[76]!UPDATETIME</f>
        <v>09:51:32.257</v>
      </c>
      <c r="W61" cm="1">
        <f t="array" ref="W61">[76]!UPPERLIMITPRICE</f>
        <v>9024</v>
      </c>
      <c r="X61" cm="1">
        <f t="array" ref="X61">[76]!LOWERLIMITPRICE</f>
        <v>8004</v>
      </c>
      <c r="Y61" t="e" cm="1">
        <f t="array" ref="Y61">[76]!CLOSEPRICE</f>
        <v>#N/A</v>
      </c>
      <c r="Z61" t="e" cm="1">
        <f t="array" ref="Z61">[76]!SETTLEPRICE</f>
        <v>#N/A</v>
      </c>
      <c r="AA61" cm="1">
        <f t="array" ref="AA61">[76]!PRECLOSE</f>
        <v>8505</v>
      </c>
      <c r="AB61" cm="1">
        <f t="array" ref="AB61">[76]!PRESETTLEPRICE</f>
        <v>8514</v>
      </c>
      <c r="AC61" t="s">
        <v>107</v>
      </c>
      <c r="AD61" t="s">
        <v>207</v>
      </c>
      <c r="AE61">
        <v>10</v>
      </c>
      <c r="AF61">
        <v>20260914</v>
      </c>
      <c r="AG61" t="e" cm="1">
        <f t="array" ref="AG61">[76]!MARGIN</f>
        <v>#N/A</v>
      </c>
      <c r="AH61" t="e" cm="1">
        <f t="array" ref="AH61">[76]!FEE</f>
        <v>#N/A</v>
      </c>
      <c r="AI61" t="s">
        <v>210</v>
      </c>
      <c r="AJ61" cm="1">
        <f t="array" ref="AJ61">[76]!IMPLYBIDVOLUME1</f>
        <v>0</v>
      </c>
      <c r="AK61" t="e" cm="1">
        <f t="array" ref="AK61">[76]!IMPLYBIDPRICE1</f>
        <v>#N/A</v>
      </c>
      <c r="AL61" t="e" cm="1">
        <f t="array" ref="AL61">[76]!IMPLYASKPRICE1</f>
        <v>#N/A</v>
      </c>
      <c r="AM61" cm="1">
        <f t="array" ref="AM61">[76]!IMPLYASKVOLUME1</f>
        <v>0</v>
      </c>
      <c r="AN61" cm="1">
        <f t="array" ref="AN61">[76]!VOLUMEBIDLOT</f>
        <v>0</v>
      </c>
      <c r="AO61" cm="1">
        <f t="array" ref="AO61">[76]!VOLUMEASKLOT</f>
        <v>0</v>
      </c>
    </row>
    <row r="62" spans="1:41" x14ac:dyDescent="0.25">
      <c r="A62" t="s">
        <v>157</v>
      </c>
      <c r="B62" t="s">
        <v>278</v>
      </c>
      <c r="C62" cm="1">
        <f t="array" ref="C62">[53]!NETVOLUME3862909776</f>
        <v>0</v>
      </c>
      <c r="D62" cm="1">
        <f t="array" ref="D62">[53]!LONGPOSITION3862909776</f>
        <v>0</v>
      </c>
      <c r="E62" cm="1">
        <f t="array" ref="E62">[53]!SHORTPOSITION3862909776</f>
        <v>0</v>
      </c>
      <c r="F62" cm="1">
        <f t="array" ref="F62">[53]!MTMPL3862909776</f>
        <v>0</v>
      </c>
      <c r="G62" cm="1">
        <f t="array" ref="G62">[53]!LASTPRICE</f>
        <v>184280</v>
      </c>
      <c r="H62" cm="1">
        <f t="array" ref="H62">[53]!NETCHANGE</f>
        <v>2980</v>
      </c>
      <c r="I62" t="str" cm="1">
        <f t="array" ref="I62">[53]!NETCHANGERATE</f>
        <v>+1.64%</v>
      </c>
      <c r="J62" cm="1">
        <f t="array" ref="J62">[53]!BIDVOLUME1</f>
        <v>17</v>
      </c>
      <c r="K62" cm="1">
        <f t="array" ref="K62">[53]!BIDPRICE1</f>
        <v>184280</v>
      </c>
      <c r="L62" cm="1">
        <f t="array" ref="L62">[53]!ASKPRICE1</f>
        <v>184440</v>
      </c>
      <c r="M62" cm="1">
        <f t="array" ref="M62">[53]!ASKVOLUME1</f>
        <v>3</v>
      </c>
      <c r="N62" cm="1">
        <f t="array" ref="N62">[53]!OPENPRICE</f>
        <v>185500</v>
      </c>
      <c r="O62" cm="1">
        <f t="array" ref="O62">[53]!HIGH</f>
        <v>187900</v>
      </c>
      <c r="P62" cm="1">
        <f t="array" ref="P62">[53]!LOW</f>
        <v>183180</v>
      </c>
      <c r="Q62" cm="1">
        <f t="array" ref="Q62">[53]!TRADEVOLUME</f>
        <v>90755</v>
      </c>
      <c r="R62" cm="1">
        <f t="array" ref="R62">[53]!POSIVOL</f>
        <v>459714</v>
      </c>
      <c r="S62" cm="1">
        <f t="array" ref="S62">[53]!POSIVOLCHANGE</f>
        <v>0</v>
      </c>
      <c r="T62" cm="1">
        <f t="array" ref="T62">[53]!POSIVOLCHANGEDAILY</f>
        <v>6864</v>
      </c>
      <c r="U62" t="str" cm="1">
        <f t="array" ref="U62">[53]!INST_STATE</f>
        <v>连续交易</v>
      </c>
      <c r="V62" t="str" cm="1">
        <f t="array" ref="V62">[53]!UPDATETIME</f>
        <v>09:51:31.931</v>
      </c>
      <c r="W62" cm="1">
        <f t="array" ref="W62">[53]!UPPERLIMITPRICE</f>
        <v>204860</v>
      </c>
      <c r="X62" cm="1">
        <f t="array" ref="X62">[53]!LOWERLIMITPRICE</f>
        <v>157740</v>
      </c>
      <c r="Y62" t="e" cm="1">
        <f t="array" ref="Y62">[53]!CLOSEPRICE</f>
        <v>#N/A</v>
      </c>
      <c r="Z62" t="e" cm="1">
        <f t="array" ref="Z62">[53]!SETTLEPRICE</f>
        <v>#N/A</v>
      </c>
      <c r="AA62" cm="1">
        <f t="array" ref="AA62">[53]!PRECLOSE</f>
        <v>184460</v>
      </c>
      <c r="AB62" cm="1">
        <f t="array" ref="AB62">[53]!PRESETTLEPRICE</f>
        <v>181300</v>
      </c>
      <c r="AC62" t="s">
        <v>158</v>
      </c>
      <c r="AD62" t="s">
        <v>159</v>
      </c>
      <c r="AE62">
        <v>1</v>
      </c>
      <c r="AF62">
        <v>20260914</v>
      </c>
      <c r="AG62" t="e" cm="1">
        <f t="array" ref="AG62">[53]!MARGIN</f>
        <v>#N/A</v>
      </c>
      <c r="AH62" t="e" cm="1">
        <f t="array" ref="AH62">[53]!FEE</f>
        <v>#N/A</v>
      </c>
      <c r="AI62" t="s">
        <v>210</v>
      </c>
      <c r="AJ62" cm="1">
        <f t="array" ref="AJ62">[53]!IMPLYBIDVOLUME1</f>
        <v>0</v>
      </c>
      <c r="AK62" t="e" cm="1">
        <f t="array" ref="AK62">[53]!IMPLYBIDPRICE1</f>
        <v>#N/A</v>
      </c>
      <c r="AL62" t="e" cm="1">
        <f t="array" ref="AL62">[53]!IMPLYASKPRICE1</f>
        <v>#N/A</v>
      </c>
      <c r="AM62" cm="1">
        <f t="array" ref="AM62">[53]!IMPLYASKVOLUME1</f>
        <v>0</v>
      </c>
      <c r="AN62" cm="1">
        <f t="array" ref="AN62">[53]!VOLUMEBIDLOT</f>
        <v>0</v>
      </c>
      <c r="AO62" cm="1">
        <f t="array" ref="AO62">[53]!VOLUMEASKLOT</f>
        <v>0</v>
      </c>
    </row>
    <row r="63" spans="1:41" x14ac:dyDescent="0.25">
      <c r="A63" t="s">
        <v>178</v>
      </c>
      <c r="B63" t="s">
        <v>279</v>
      </c>
      <c r="C63" cm="1">
        <f t="array" ref="C63">[63]!NETVOLUME3862909776</f>
        <v>0</v>
      </c>
      <c r="D63" cm="1">
        <f t="array" ref="D63">[63]!LONGPOSITION3862909776</f>
        <v>0</v>
      </c>
      <c r="E63" cm="1">
        <f t="array" ref="E63">[63]!SHORTPOSITION3862909776</f>
        <v>0</v>
      </c>
      <c r="F63" cm="1">
        <f t="array" ref="F63">[63]!MTMPL3862909776</f>
        <v>0</v>
      </c>
      <c r="G63" cm="1">
        <f t="array" ref="G63">[63]!LASTPRICE</f>
        <v>334.85</v>
      </c>
      <c r="H63" cm="1">
        <f t="array" ref="H63">[63]!NETCHANGE</f>
        <v>0.75</v>
      </c>
      <c r="I63" t="str" cm="1">
        <f t="array" ref="I63">[63]!NETCHANGERATE</f>
        <v>+0.22%</v>
      </c>
      <c r="J63" cm="1">
        <f t="array" ref="J63">[63]!BIDVOLUME1</f>
        <v>2</v>
      </c>
      <c r="K63" cm="1">
        <f t="array" ref="K63">[63]!BIDPRICE1</f>
        <v>334.75</v>
      </c>
      <c r="L63" cm="1">
        <f t="array" ref="L63">[63]!ASKPRICE1</f>
        <v>335</v>
      </c>
      <c r="M63" cm="1">
        <f t="array" ref="M63">[63]!ASKVOLUME1</f>
        <v>3</v>
      </c>
      <c r="N63" cm="1">
        <f t="array" ref="N63">[63]!OPENPRICE</f>
        <v>334.95</v>
      </c>
      <c r="O63" cm="1">
        <f t="array" ref="O63">[63]!HIGH</f>
        <v>336</v>
      </c>
      <c r="P63" cm="1">
        <f t="array" ref="P63">[63]!LOW</f>
        <v>332.55</v>
      </c>
      <c r="Q63" cm="1">
        <f t="array" ref="Q63">[63]!TRADEVOLUME</f>
        <v>1135</v>
      </c>
      <c r="R63" cm="1">
        <f t="array" ref="R63">[63]!POSIVOL</f>
        <v>5068</v>
      </c>
      <c r="S63" cm="1">
        <f t="array" ref="S63">[63]!POSIVOLCHANGE</f>
        <v>2</v>
      </c>
      <c r="T63" cm="1">
        <f t="array" ref="T63">[63]!POSIVOLCHANGEDAILY</f>
        <v>-145</v>
      </c>
      <c r="U63" t="str" cm="1">
        <f t="array" ref="U63">[63]!INST_STATE</f>
        <v>连续交易</v>
      </c>
      <c r="V63" t="str" cm="1">
        <f t="array" ref="V63">[63]!UPDATETIME</f>
        <v>09:51:32.383</v>
      </c>
      <c r="W63" cm="1">
        <f t="array" ref="W63">[63]!UPPERLIMITPRICE</f>
        <v>390.85</v>
      </c>
      <c r="X63" cm="1">
        <f t="array" ref="X63">[63]!LOWERLIMITPRICE</f>
        <v>277.35000000000002</v>
      </c>
      <c r="Y63" t="e" cm="1">
        <f t="array" ref="Y63">[63]!CLOSEPRICE</f>
        <v>#N/A</v>
      </c>
      <c r="Z63" t="e" cm="1">
        <f t="array" ref="Z63">[63]!SETTLEPRICE</f>
        <v>#N/A</v>
      </c>
      <c r="AA63" cm="1">
        <f t="array" ref="AA63">[63]!PRECLOSE</f>
        <v>332.2</v>
      </c>
      <c r="AB63" cm="1">
        <f t="array" ref="AB63">[63]!PRESETTLEPRICE</f>
        <v>334.1</v>
      </c>
      <c r="AC63" t="s">
        <v>158</v>
      </c>
      <c r="AD63" t="s">
        <v>179</v>
      </c>
      <c r="AE63">
        <v>1000</v>
      </c>
      <c r="AF63">
        <v>20260612</v>
      </c>
      <c r="AG63" t="e" cm="1">
        <f t="array" ref="AG63">[63]!MARGIN</f>
        <v>#N/A</v>
      </c>
      <c r="AH63" t="e" cm="1">
        <f t="array" ref="AH63">[63]!FEE</f>
        <v>#N/A</v>
      </c>
      <c r="AI63" t="s">
        <v>210</v>
      </c>
      <c r="AJ63" cm="1">
        <f t="array" ref="AJ63">[63]!IMPLYBIDVOLUME1</f>
        <v>0</v>
      </c>
      <c r="AK63" t="e" cm="1">
        <f t="array" ref="AK63">[63]!IMPLYBIDPRICE1</f>
        <v>#N/A</v>
      </c>
      <c r="AL63" t="e" cm="1">
        <f t="array" ref="AL63">[63]!IMPLYASKPRICE1</f>
        <v>#N/A</v>
      </c>
      <c r="AM63" cm="1">
        <f t="array" ref="AM63">[63]!IMPLYASKVOLUME1</f>
        <v>0</v>
      </c>
      <c r="AN63" cm="1">
        <f t="array" ref="AN63">[63]!VOLUMEBIDLOT</f>
        <v>0</v>
      </c>
      <c r="AO63" cm="1">
        <f t="array" ref="AO63">[63]!VOLUMEASKLOT</f>
        <v>0</v>
      </c>
    </row>
    <row r="64" spans="1:41" x14ac:dyDescent="0.25">
      <c r="A64" t="s">
        <v>280</v>
      </c>
      <c r="B64" t="s">
        <v>281</v>
      </c>
      <c r="C64" cm="1">
        <f t="array" ref="C64">[85]!NETVOLUME3862909776</f>
        <v>0</v>
      </c>
      <c r="D64" cm="1">
        <f t="array" ref="D64">[85]!LONGPOSITION3862909776</f>
        <v>0</v>
      </c>
      <c r="E64" cm="1">
        <f t="array" ref="E64">[85]!SHORTPOSITION3862909776</f>
        <v>0</v>
      </c>
      <c r="F64" cm="1">
        <f t="array" ref="F64">[85]!MTMPL3862909776</f>
        <v>0</v>
      </c>
      <c r="G64" cm="1">
        <f t="array" ref="G64">[85]!LASTPRICE</f>
        <v>37620</v>
      </c>
      <c r="H64" cm="1">
        <f t="array" ref="H64">[85]!NETCHANGE</f>
        <v>230</v>
      </c>
      <c r="I64" t="str" cm="1">
        <f t="array" ref="I64">[85]!NETCHANGERATE</f>
        <v>+0.62%</v>
      </c>
      <c r="J64" cm="1">
        <f t="array" ref="J64">[85]!BIDVOLUME1</f>
        <v>10</v>
      </c>
      <c r="K64" cm="1">
        <f t="array" ref="K64">[85]!BIDPRICE1</f>
        <v>37620</v>
      </c>
      <c r="L64" cm="1">
        <f t="array" ref="L64">[85]!ASKPRICE1</f>
        <v>37645</v>
      </c>
      <c r="M64" cm="1">
        <f t="array" ref="M64">[85]!ASKVOLUME1</f>
        <v>15</v>
      </c>
      <c r="N64" cm="1">
        <f t="array" ref="N64">[85]!OPENPRICE</f>
        <v>38000</v>
      </c>
      <c r="O64" cm="1">
        <f t="array" ref="O64">[85]!HIGH</f>
        <v>38245</v>
      </c>
      <c r="P64" cm="1">
        <f t="array" ref="P64">[85]!LOW</f>
        <v>37420</v>
      </c>
      <c r="Q64" cm="1">
        <f t="array" ref="Q64">[85]!TRADEVOLUME</f>
        <v>24190</v>
      </c>
      <c r="R64" cm="1">
        <f t="array" ref="R64">[85]!POSIVOL</f>
        <v>68614</v>
      </c>
      <c r="S64" cm="1">
        <f t="array" ref="S64">[85]!POSIVOLCHANGE</f>
        <v>0</v>
      </c>
      <c r="T64" cm="1">
        <f t="array" ref="T64">[85]!POSIVOLCHANGEDAILY</f>
        <v>3354</v>
      </c>
      <c r="U64" t="str" cm="1">
        <f t="array" ref="U64">[85]!INST_STATE</f>
        <v>连续交易</v>
      </c>
      <c r="V64" t="str" cm="1">
        <f t="array" ref="V64">[85]!UPDATETIME</f>
        <v>09:51:31.891</v>
      </c>
      <c r="W64" cm="1">
        <f t="array" ref="W64">[85]!UPPERLIMITPRICE</f>
        <v>40755</v>
      </c>
      <c r="X64" cm="1">
        <f t="array" ref="X64">[85]!LOWERLIMITPRICE</f>
        <v>34025</v>
      </c>
      <c r="Y64" t="e" cm="1">
        <f t="array" ref="Y64">[85]!CLOSEPRICE</f>
        <v>#N/A</v>
      </c>
      <c r="Z64" t="e" cm="1">
        <f t="array" ref="Z64">[85]!SETTLEPRICE</f>
        <v>#N/A</v>
      </c>
      <c r="AA64" cm="1">
        <f t="array" ref="AA64">[85]!PRECLOSE</f>
        <v>37540</v>
      </c>
      <c r="AB64" cm="1">
        <f t="array" ref="AB64">[85]!PRESETTLEPRICE</f>
        <v>37390</v>
      </c>
      <c r="AC64" t="s">
        <v>158</v>
      </c>
      <c r="AD64" t="s">
        <v>184</v>
      </c>
      <c r="AE64">
        <v>3</v>
      </c>
      <c r="AF64">
        <v>20260914</v>
      </c>
      <c r="AG64" t="e" cm="1">
        <f t="array" ref="AG64">[85]!MARGIN</f>
        <v>#N/A</v>
      </c>
      <c r="AH64" t="e" cm="1">
        <f t="array" ref="AH64">[85]!FEE</f>
        <v>#N/A</v>
      </c>
      <c r="AI64" t="s">
        <v>210</v>
      </c>
      <c r="AJ64" cm="1">
        <f t="array" ref="AJ64">[85]!IMPLYBIDVOLUME1</f>
        <v>0</v>
      </c>
      <c r="AK64" t="e" cm="1">
        <f t="array" ref="AK64">[85]!IMPLYBIDPRICE1</f>
        <v>#N/A</v>
      </c>
      <c r="AL64" t="e" cm="1">
        <f t="array" ref="AL64">[85]!IMPLYASKPRICE1</f>
        <v>#N/A</v>
      </c>
      <c r="AM64" cm="1">
        <f t="array" ref="AM64">[85]!IMPLYASKVOLUME1</f>
        <v>0</v>
      </c>
      <c r="AN64" cm="1">
        <f t="array" ref="AN64">[85]!VOLUMEBIDLOT</f>
        <v>0</v>
      </c>
      <c r="AO64" cm="1">
        <f t="array" ref="AO64">[85]!VOLUMEASKLOT</f>
        <v>0</v>
      </c>
    </row>
    <row r="65" spans="1:41" x14ac:dyDescent="0.25">
      <c r="A65" t="s">
        <v>282</v>
      </c>
      <c r="B65" t="s">
        <v>283</v>
      </c>
      <c r="C65" cm="1">
        <f t="array" ref="C65">[86]!NETVOLUME3862909776</f>
        <v>0</v>
      </c>
      <c r="D65" cm="1">
        <f t="array" ref="D65">[86]!LONGPOSITION3862909776</f>
        <v>0</v>
      </c>
      <c r="E65" cm="1">
        <f t="array" ref="E65">[86]!SHORTPOSITION3862909776</f>
        <v>0</v>
      </c>
      <c r="F65" cm="1">
        <f t="array" ref="F65">[86]!MTMPL3862909776</f>
        <v>0</v>
      </c>
      <c r="G65" cm="1">
        <f t="array" ref="G65">[86]!LASTPRICE</f>
        <v>491.1</v>
      </c>
      <c r="H65" cm="1">
        <f t="array" ref="H65">[86]!NETCHANGE</f>
        <v>1.1000000000000227</v>
      </c>
      <c r="I65" t="str" cm="1">
        <f t="array" ref="I65">[86]!NETCHANGERATE</f>
        <v>+0.22%</v>
      </c>
      <c r="J65" cm="1">
        <f t="array" ref="J65">[86]!BIDVOLUME1</f>
        <v>1</v>
      </c>
      <c r="K65" cm="1">
        <f t="array" ref="K65">[86]!BIDPRICE1</f>
        <v>490.65</v>
      </c>
      <c r="L65" cm="1">
        <f t="array" ref="L65">[86]!ASKPRICE1</f>
        <v>491.1</v>
      </c>
      <c r="M65" cm="1">
        <f t="array" ref="M65">[86]!ASKVOLUME1</f>
        <v>1</v>
      </c>
      <c r="N65" cm="1">
        <f t="array" ref="N65">[86]!OPENPRICE</f>
        <v>493.35</v>
      </c>
      <c r="O65" cm="1">
        <f t="array" ref="O65">[86]!HIGH</f>
        <v>496.6</v>
      </c>
      <c r="P65" cm="1">
        <f t="array" ref="P65">[86]!LOW</f>
        <v>489</v>
      </c>
      <c r="Q65" cm="1">
        <f t="array" ref="Q65">[86]!TRADEVOLUME</f>
        <v>1588</v>
      </c>
      <c r="R65" cm="1">
        <f t="array" ref="R65">[86]!POSIVOL</f>
        <v>9192</v>
      </c>
      <c r="S65" cm="1">
        <f t="array" ref="S65">[86]!POSIVOLCHANGE</f>
        <v>0</v>
      </c>
      <c r="T65" cm="1">
        <f t="array" ref="T65">[86]!POSIVOLCHANGEDAILY</f>
        <v>362</v>
      </c>
      <c r="U65" t="str" cm="1">
        <f t="array" ref="U65">[86]!INST_STATE</f>
        <v>连续交易</v>
      </c>
      <c r="V65" t="str" cm="1">
        <f t="array" ref="V65">[86]!UPDATETIME</f>
        <v>09:51:41.578</v>
      </c>
      <c r="W65" cm="1">
        <f t="array" ref="W65">[86]!UPPERLIMITPRICE</f>
        <v>573.29999999999995</v>
      </c>
      <c r="X65" cm="1">
        <f t="array" ref="X65">[86]!LOWERLIMITPRICE</f>
        <v>406.7</v>
      </c>
      <c r="Y65" t="e" cm="1">
        <f t="array" ref="Y65">[86]!CLOSEPRICE</f>
        <v>#N/A</v>
      </c>
      <c r="Z65" t="e" cm="1">
        <f t="array" ref="Z65">[86]!SETTLEPRICE</f>
        <v>#N/A</v>
      </c>
      <c r="AA65" cm="1">
        <f t="array" ref="AA65">[86]!PRECLOSE</f>
        <v>488.65</v>
      </c>
      <c r="AB65" cm="1">
        <f t="array" ref="AB65">[86]!PRESETTLEPRICE</f>
        <v>490</v>
      </c>
      <c r="AC65" t="s">
        <v>158</v>
      </c>
      <c r="AD65" t="s">
        <v>185</v>
      </c>
      <c r="AE65">
        <v>1000</v>
      </c>
      <c r="AF65">
        <v>20260814</v>
      </c>
      <c r="AG65" t="e" cm="1">
        <f t="array" ref="AG65">[86]!MARGIN</f>
        <v>#N/A</v>
      </c>
      <c r="AH65" t="e" cm="1">
        <f t="array" ref="AH65">[86]!FEE</f>
        <v>#N/A</v>
      </c>
      <c r="AI65" t="s">
        <v>210</v>
      </c>
      <c r="AJ65" cm="1">
        <f t="array" ref="AJ65">[86]!IMPLYBIDVOLUME1</f>
        <v>0</v>
      </c>
      <c r="AK65" t="e" cm="1">
        <f t="array" ref="AK65">[86]!IMPLYBIDPRICE1</f>
        <v>#N/A</v>
      </c>
      <c r="AL65" t="e" cm="1">
        <f t="array" ref="AL65">[86]!IMPLYASKPRICE1</f>
        <v>#N/A</v>
      </c>
      <c r="AM65" cm="1">
        <f t="array" ref="AM65">[86]!IMPLYASKVOLUME1</f>
        <v>0</v>
      </c>
      <c r="AN65" cm="1">
        <f t="array" ref="AN65">[86]!VOLUMEBIDLOT</f>
        <v>0</v>
      </c>
      <c r="AO65" cm="1">
        <f t="array" ref="AO65">[86]!VOLUMEASKLOT</f>
        <v>0</v>
      </c>
    </row>
    <row r="66" spans="1:41" x14ac:dyDescent="0.25">
      <c r="A66" t="s">
        <v>194</v>
      </c>
      <c r="B66" t="s">
        <v>284</v>
      </c>
      <c r="C66" cm="1">
        <f t="array" ref="C66">[70]!NETVOLUME3862909776</f>
        <v>0</v>
      </c>
      <c r="D66" cm="1">
        <f t="array" ref="D66">[70]!LONGPOSITION3862909776</f>
        <v>0</v>
      </c>
      <c r="E66" cm="1">
        <f t="array" ref="E66">[70]!SHORTPOSITION3862909776</f>
        <v>0</v>
      </c>
      <c r="F66" cm="1">
        <f t="array" ref="F66">[70]!MTMPL3862909776</f>
        <v>0</v>
      </c>
      <c r="G66" cm="1">
        <f t="array" ref="G66">[70]!LASTPRICE</f>
        <v>8580</v>
      </c>
      <c r="H66" cm="1">
        <f t="array" ref="H66">[70]!NETCHANGE</f>
        <v>135</v>
      </c>
      <c r="I66" t="str" cm="1">
        <f t="array" ref="I66">[70]!NETCHANGERATE</f>
        <v>+1.60%</v>
      </c>
      <c r="J66" cm="1">
        <f t="array" ref="J66">[70]!BIDVOLUME1</f>
        <v>239</v>
      </c>
      <c r="K66" cm="1">
        <f t="array" ref="K66">[70]!BIDPRICE1</f>
        <v>8580</v>
      </c>
      <c r="L66" cm="1">
        <f t="array" ref="L66">[70]!ASKPRICE1</f>
        <v>8585</v>
      </c>
      <c r="M66" cm="1">
        <f t="array" ref="M66">[70]!ASKVOLUME1</f>
        <v>385</v>
      </c>
      <c r="N66" cm="1">
        <f t="array" ref="N66">[70]!OPENPRICE</f>
        <v>8700</v>
      </c>
      <c r="O66" cm="1">
        <f t="array" ref="O66">[70]!HIGH</f>
        <v>8710</v>
      </c>
      <c r="P66" cm="1">
        <f t="array" ref="P66">[70]!LOW</f>
        <v>8560</v>
      </c>
      <c r="Q66" cm="1">
        <f t="array" ref="Q66">[70]!TRADEVOLUME</f>
        <v>193425</v>
      </c>
      <c r="R66" cm="1">
        <f t="array" ref="R66">[70]!POSIVOL</f>
        <v>294414</v>
      </c>
      <c r="S66" cm="1">
        <f t="array" ref="S66">[70]!POSIVOLCHANGE</f>
        <v>0</v>
      </c>
      <c r="T66" cm="1">
        <f t="array" ref="T66">[70]!POSIVOLCHANGEDAILY</f>
        <v>-11820</v>
      </c>
      <c r="U66" t="str" cm="1">
        <f t="array" ref="U66">[70]!INST_STATE</f>
        <v>连续交易</v>
      </c>
      <c r="V66" t="str" cm="1">
        <f t="array" ref="V66">[70]!UPDATETIME</f>
        <v>09:51:32.383</v>
      </c>
      <c r="W66" cm="1">
        <f t="array" ref="W66">[70]!UPPERLIMITPRICE</f>
        <v>9120</v>
      </c>
      <c r="X66" cm="1">
        <f t="array" ref="X66">[70]!LOWERLIMITPRICE</f>
        <v>7770</v>
      </c>
      <c r="Y66" t="e" cm="1">
        <f t="array" ref="Y66">[70]!CLOSEPRICE</f>
        <v>#N/A</v>
      </c>
      <c r="Z66" t="e" cm="1">
        <f t="array" ref="Z66">[70]!SETTLEPRICE</f>
        <v>#N/A</v>
      </c>
      <c r="AA66" cm="1">
        <f t="array" ref="AA66">[70]!PRECLOSE</f>
        <v>8440</v>
      </c>
      <c r="AB66" cm="1">
        <f t="array" ref="AB66">[70]!PRESETTLEPRICE</f>
        <v>8445</v>
      </c>
      <c r="AC66" t="s">
        <v>158</v>
      </c>
      <c r="AD66" t="s">
        <v>195</v>
      </c>
      <c r="AE66">
        <v>5</v>
      </c>
      <c r="AF66">
        <v>20260914</v>
      </c>
      <c r="AG66" t="e" cm="1">
        <f t="array" ref="AG66">[70]!MARGIN</f>
        <v>#N/A</v>
      </c>
      <c r="AH66" t="e" cm="1">
        <f t="array" ref="AH66">[70]!FEE</f>
        <v>#N/A</v>
      </c>
      <c r="AI66" t="s">
        <v>210</v>
      </c>
      <c r="AJ66" cm="1">
        <f t="array" ref="AJ66">[70]!IMPLYBIDVOLUME1</f>
        <v>0</v>
      </c>
      <c r="AK66" t="e" cm="1">
        <f t="array" ref="AK66">[70]!IMPLYBIDPRICE1</f>
        <v>#N/A</v>
      </c>
      <c r="AL66" t="e" cm="1">
        <f t="array" ref="AL66">[70]!IMPLYASKPRICE1</f>
        <v>#N/A</v>
      </c>
      <c r="AM66" cm="1">
        <f t="array" ref="AM66">[70]!IMPLYASKVOLUME1</f>
        <v>0</v>
      </c>
      <c r="AN66" cm="1">
        <f t="array" ref="AN66">[70]!VOLUMEBIDLOT</f>
        <v>0</v>
      </c>
      <c r="AO66" cm="1">
        <f t="array" ref="AO66">[70]!VOLUMEASKLOT</f>
        <v>0</v>
      </c>
    </row>
    <row r="67" spans="1:41" x14ac:dyDescent="0.25">
      <c r="A67" t="s">
        <v>123</v>
      </c>
      <c r="B67" t="s">
        <v>285</v>
      </c>
      <c r="C67" cm="1">
        <f t="array" ref="C67">[38]!NETVOLUME3862909776</f>
        <v>0</v>
      </c>
      <c r="D67" cm="1">
        <f t="array" ref="D67">[38]!LONGPOSITION3862909776</f>
        <v>0</v>
      </c>
      <c r="E67" cm="1">
        <f t="array" ref="E67">[38]!SHORTPOSITION3862909776</f>
        <v>0</v>
      </c>
      <c r="F67" cm="1">
        <f t="array" ref="F67">[38]!MTMPL3862909776</f>
        <v>0</v>
      </c>
      <c r="G67" cm="1">
        <f t="array" ref="G67">[38]!LASTPRICE</f>
        <v>93700</v>
      </c>
      <c r="H67" cm="1">
        <f t="array" ref="H67">[38]!NETCHANGE</f>
        <v>1140</v>
      </c>
      <c r="I67" t="str" cm="1">
        <f t="array" ref="I67">[38]!NETCHANGERATE</f>
        <v>+1.23%</v>
      </c>
      <c r="J67" cm="1">
        <f t="array" ref="J67">[38]!BIDVOLUME1</f>
        <v>1</v>
      </c>
      <c r="K67" cm="1">
        <f t="array" ref="K67">[38]!BIDPRICE1</f>
        <v>93710</v>
      </c>
      <c r="L67" cm="1">
        <f t="array" ref="L67">[38]!ASKPRICE1</f>
        <v>93730</v>
      </c>
      <c r="M67" cm="1">
        <f t="array" ref="M67">[38]!ASKVOLUME1</f>
        <v>1</v>
      </c>
      <c r="N67" cm="1">
        <f t="array" ref="N67">[38]!OPENPRICE</f>
        <v>93030</v>
      </c>
      <c r="O67" cm="1">
        <f t="array" ref="O67">[38]!HIGH</f>
        <v>94100</v>
      </c>
      <c r="P67" cm="1">
        <f t="array" ref="P67">[38]!LOW</f>
        <v>92550</v>
      </c>
      <c r="Q67" cm="1">
        <f t="array" ref="Q67">[38]!TRADEVOLUME</f>
        <v>6025</v>
      </c>
      <c r="R67" cm="1">
        <f t="array" ref="R67">[38]!POSIVOL</f>
        <v>6229</v>
      </c>
      <c r="S67" cm="1">
        <f t="array" ref="S67">[38]!POSIVOLCHANGE</f>
        <v>0</v>
      </c>
      <c r="T67" cm="1">
        <f t="array" ref="T67">[38]!POSIVOLCHANGEDAILY</f>
        <v>-1796</v>
      </c>
      <c r="U67" t="str" cm="1">
        <f t="array" ref="U67">[38]!INST_STATE</f>
        <v>连续交易</v>
      </c>
      <c r="V67" t="str" cm="1">
        <f t="array" ref="V67">[38]!UPDATETIME</f>
        <v>09:51:32.000</v>
      </c>
      <c r="W67" cm="1">
        <f t="array" ref="W67">[38]!UPPERLIMITPRICE</f>
        <v>101810</v>
      </c>
      <c r="X67" cm="1">
        <f t="array" ref="X67">[38]!LOWERLIMITPRICE</f>
        <v>83300</v>
      </c>
      <c r="Y67" t="e" cm="1">
        <f t="array" ref="Y67">[38]!CLOSEPRICE</f>
        <v>#N/A</v>
      </c>
      <c r="Z67" t="e" cm="1">
        <f t="array" ref="Z67">[38]!SETTLEPRICE</f>
        <v>#N/A</v>
      </c>
      <c r="AA67" cm="1">
        <f t="array" ref="AA67">[38]!PRECLOSE</f>
        <v>93030</v>
      </c>
      <c r="AB67" cm="1">
        <f t="array" ref="AB67">[38]!PRESETTLEPRICE</f>
        <v>92560</v>
      </c>
      <c r="AC67" t="s">
        <v>124</v>
      </c>
      <c r="AD67" t="s">
        <v>125</v>
      </c>
      <c r="AE67">
        <v>5</v>
      </c>
      <c r="AF67">
        <v>20260615</v>
      </c>
      <c r="AG67" t="e" cm="1">
        <f t="array" ref="AG67">[38]!MARGIN</f>
        <v>#N/A</v>
      </c>
      <c r="AH67" t="e" cm="1">
        <f t="array" ref="AH67">[38]!FEE</f>
        <v>#N/A</v>
      </c>
      <c r="AI67" t="s">
        <v>210</v>
      </c>
      <c r="AJ67" cm="1">
        <f t="array" ref="AJ67">[38]!IMPLYBIDVOLUME1</f>
        <v>0</v>
      </c>
      <c r="AK67" t="e" cm="1">
        <f t="array" ref="AK67">[38]!IMPLYBIDPRICE1</f>
        <v>#N/A</v>
      </c>
      <c r="AL67" t="e" cm="1">
        <f t="array" ref="AL67">[38]!IMPLYASKPRICE1</f>
        <v>#N/A</v>
      </c>
      <c r="AM67" cm="1">
        <f t="array" ref="AM67">[38]!IMPLYASKVOLUME1</f>
        <v>0</v>
      </c>
      <c r="AN67" cm="1">
        <f t="array" ref="AN67">[38]!VOLUMEBIDLOT</f>
        <v>0</v>
      </c>
      <c r="AO67" cm="1">
        <f t="array" ref="AO67">[38]!VOLUMEASKLOT</f>
        <v>0</v>
      </c>
    </row>
    <row r="68" spans="1:41" x14ac:dyDescent="0.25">
      <c r="A68" t="s">
        <v>137</v>
      </c>
      <c r="B68" t="s">
        <v>286</v>
      </c>
      <c r="C68" cm="1">
        <f t="array" ref="C68">[43]!NETVOLUME3862909776</f>
        <v>0</v>
      </c>
      <c r="D68" cm="1">
        <f t="array" ref="D68">[43]!LONGPOSITION3862909776</f>
        <v>0</v>
      </c>
      <c r="E68" cm="1">
        <f t="array" ref="E68">[43]!SHORTPOSITION3862909776</f>
        <v>0</v>
      </c>
      <c r="F68" cm="1">
        <f t="array" ref="F68">[43]!MTMPL3862909776</f>
        <v>0</v>
      </c>
      <c r="G68" cm="1">
        <f t="array" ref="G68">[43]!LASTPRICE</f>
        <v>2960</v>
      </c>
      <c r="H68" cm="1">
        <f t="array" ref="H68">[43]!NETCHANGE</f>
        <v>-42</v>
      </c>
      <c r="I68" t="str" cm="1">
        <f t="array" ref="I68">[43]!NETCHANGERATE</f>
        <v>-1.40%</v>
      </c>
      <c r="J68" cm="1">
        <f t="array" ref="J68">[43]!BIDVOLUME1</f>
        <v>2</v>
      </c>
      <c r="K68" cm="1">
        <f t="array" ref="K68">[43]!BIDPRICE1</f>
        <v>2960.5</v>
      </c>
      <c r="L68" cm="1">
        <f t="array" ref="L68">[43]!ASKPRICE1</f>
        <v>2964.5</v>
      </c>
      <c r="M68" cm="1">
        <f t="array" ref="M68">[43]!ASKVOLUME1</f>
        <v>6</v>
      </c>
      <c r="N68" cm="1">
        <f t="array" ref="N68">[43]!OPENPRICE</f>
        <v>2918</v>
      </c>
      <c r="O68" cm="1">
        <f t="array" ref="O68">[43]!HIGH</f>
        <v>2985</v>
      </c>
      <c r="P68" cm="1">
        <f t="array" ref="P68">[43]!LOW</f>
        <v>2868.5</v>
      </c>
      <c r="Q68" cm="1">
        <f t="array" ref="Q68">[43]!TRADEVOLUME</f>
        <v>9295</v>
      </c>
      <c r="R68" cm="1">
        <f t="array" ref="R68">[43]!POSIVOL</f>
        <v>19768</v>
      </c>
      <c r="S68" cm="1">
        <f t="array" ref="S68">[43]!POSIVOLCHANGE</f>
        <v>0</v>
      </c>
      <c r="T68" cm="1">
        <f t="array" ref="T68">[43]!POSIVOLCHANGEDAILY</f>
        <v>-907</v>
      </c>
      <c r="U68" t="str" cm="1">
        <f t="array" ref="U68">[43]!INST_STATE</f>
        <v>连续交易</v>
      </c>
      <c r="V68" t="str" cm="1">
        <f t="array" ref="V68">[43]!UPDATETIME</f>
        <v>09:51:32.000</v>
      </c>
      <c r="W68" cm="1">
        <f t="array" ref="W68">[43]!UPPERLIMITPRICE</f>
        <v>3602</v>
      </c>
      <c r="X68" cm="1">
        <f t="array" ref="X68">[43]!LOWERLIMITPRICE</f>
        <v>2401.5</v>
      </c>
      <c r="Y68" t="e" cm="1">
        <f t="array" ref="Y68">[43]!CLOSEPRICE</f>
        <v>#N/A</v>
      </c>
      <c r="Z68" t="e" cm="1">
        <f t="array" ref="Z68">[43]!SETTLEPRICE</f>
        <v>#N/A</v>
      </c>
      <c r="AA68" cm="1">
        <f t="array" ref="AA68">[43]!PRECLOSE</f>
        <v>3000</v>
      </c>
      <c r="AB68" cm="1">
        <f t="array" ref="AB68">[43]!PRESETTLEPRICE</f>
        <v>3002</v>
      </c>
      <c r="AC68" t="s">
        <v>124</v>
      </c>
      <c r="AD68" t="s">
        <v>138</v>
      </c>
      <c r="AE68">
        <v>50</v>
      </c>
      <c r="AF68">
        <v>20260629</v>
      </c>
      <c r="AG68" t="e" cm="1">
        <f t="array" ref="AG68">[43]!MARGIN</f>
        <v>#N/A</v>
      </c>
      <c r="AH68" t="e" cm="1">
        <f t="array" ref="AH68">[43]!FEE</f>
        <v>#N/A</v>
      </c>
      <c r="AI68" t="s">
        <v>210</v>
      </c>
      <c r="AJ68" cm="1">
        <f t="array" ref="AJ68">[43]!IMPLYBIDVOLUME1</f>
        <v>0</v>
      </c>
      <c r="AK68" t="e" cm="1">
        <f t="array" ref="AK68">[43]!IMPLYBIDPRICE1</f>
        <v>#N/A</v>
      </c>
      <c r="AL68" t="e" cm="1">
        <f t="array" ref="AL68">[43]!IMPLYASKPRICE1</f>
        <v>#N/A</v>
      </c>
      <c r="AM68" cm="1">
        <f t="array" ref="AM68">[43]!IMPLYASKVOLUME1</f>
        <v>0</v>
      </c>
      <c r="AN68" cm="1">
        <f t="array" ref="AN68">[43]!VOLUMEBIDLOT</f>
        <v>0</v>
      </c>
      <c r="AO68" cm="1">
        <f t="array" ref="AO68">[43]!VOLUMEASKLOT</f>
        <v>0</v>
      </c>
    </row>
    <row r="69" spans="1:41" x14ac:dyDescent="0.25">
      <c r="A69" t="s">
        <v>164</v>
      </c>
      <c r="B69" t="s">
        <v>287</v>
      </c>
      <c r="C69" cm="1">
        <f t="array" ref="C69">[56]!NETVOLUME3862909776</f>
        <v>0</v>
      </c>
      <c r="D69" cm="1">
        <f t="array" ref="D69">[56]!LONGPOSITION3862909776</f>
        <v>0</v>
      </c>
      <c r="E69" cm="1">
        <f t="array" ref="E69">[56]!SHORTPOSITION3862909776</f>
        <v>0</v>
      </c>
      <c r="F69" cm="1">
        <f t="array" ref="F69">[56]!MTMPL3862909776</f>
        <v>0</v>
      </c>
      <c r="G69" cm="1">
        <f t="array" ref="G69">[56]!LASTPRICE</f>
        <v>4806</v>
      </c>
      <c r="H69" cm="1">
        <f t="array" ref="H69">[56]!NETCHANGE</f>
        <v>-267</v>
      </c>
      <c r="I69" t="str" cm="1">
        <f t="array" ref="I69">[56]!NETCHANGERATE</f>
        <v>-5.26%</v>
      </c>
      <c r="J69" cm="1">
        <f t="array" ref="J69">[56]!BIDVOLUME1</f>
        <v>2</v>
      </c>
      <c r="K69" cm="1">
        <f t="array" ref="K69">[56]!BIDPRICE1</f>
        <v>4805</v>
      </c>
      <c r="L69" cm="1">
        <f t="array" ref="L69">[56]!ASKPRICE1</f>
        <v>4806</v>
      </c>
      <c r="M69" cm="1">
        <f t="array" ref="M69">[56]!ASKVOLUME1</f>
        <v>2</v>
      </c>
      <c r="N69" cm="1">
        <f t="array" ref="N69">[56]!OPENPRICE</f>
        <v>5000</v>
      </c>
      <c r="O69" cm="1">
        <f t="array" ref="O69">[56]!HIGH</f>
        <v>5069</v>
      </c>
      <c r="P69" cm="1">
        <f t="array" ref="P69">[56]!LOW</f>
        <v>4767</v>
      </c>
      <c r="Q69" cm="1">
        <f t="array" ref="Q69">[56]!TRADEVOLUME</f>
        <v>46271</v>
      </c>
      <c r="R69" cm="1">
        <f t="array" ref="R69">[56]!POSIVOL</f>
        <v>60888</v>
      </c>
      <c r="S69" cm="1">
        <f t="array" ref="S69">[56]!POSIVOLCHANGE</f>
        <v>0</v>
      </c>
      <c r="T69" cm="1">
        <f t="array" ref="T69">[56]!POSIVOLCHANGEDAILY</f>
        <v>-2388</v>
      </c>
      <c r="U69" t="str" cm="1">
        <f t="array" ref="U69">[56]!INST_STATE</f>
        <v>连续交易</v>
      </c>
      <c r="V69" t="str" cm="1">
        <f t="array" ref="V69">[56]!UPDATETIME</f>
        <v>09:51:32.000</v>
      </c>
      <c r="W69" cm="1">
        <f t="array" ref="W69">[56]!UPPERLIMITPRICE</f>
        <v>6087</v>
      </c>
      <c r="X69" cm="1">
        <f t="array" ref="X69">[56]!LOWERLIMITPRICE</f>
        <v>4058</v>
      </c>
      <c r="Y69" t="e" cm="1">
        <f t="array" ref="Y69">[56]!CLOSEPRICE</f>
        <v>#N/A</v>
      </c>
      <c r="Z69" t="e" cm="1">
        <f t="array" ref="Z69">[56]!SETTLEPRICE</f>
        <v>#N/A</v>
      </c>
      <c r="AA69" cm="1">
        <f t="array" ref="AA69">[56]!PRECLOSE</f>
        <v>5028</v>
      </c>
      <c r="AB69" cm="1">
        <f t="array" ref="AB69">[56]!PRESETTLEPRICE</f>
        <v>5073</v>
      </c>
      <c r="AC69" t="s">
        <v>124</v>
      </c>
      <c r="AD69" t="s">
        <v>165</v>
      </c>
      <c r="AE69">
        <v>10</v>
      </c>
      <c r="AF69">
        <v>20260630</v>
      </c>
      <c r="AG69" t="e" cm="1">
        <f t="array" ref="AG69">[56]!MARGIN</f>
        <v>#N/A</v>
      </c>
      <c r="AH69" t="e" cm="1">
        <f t="array" ref="AH69">[56]!FEE</f>
        <v>#N/A</v>
      </c>
      <c r="AI69" t="s">
        <v>210</v>
      </c>
      <c r="AJ69" cm="1">
        <f t="array" ref="AJ69">[56]!IMPLYBIDVOLUME1</f>
        <v>0</v>
      </c>
      <c r="AK69" t="e" cm="1">
        <f t="array" ref="AK69">[56]!IMPLYBIDPRICE1</f>
        <v>#N/A</v>
      </c>
      <c r="AL69" t="e" cm="1">
        <f t="array" ref="AL69">[56]!IMPLYASKPRICE1</f>
        <v>#N/A</v>
      </c>
      <c r="AM69" cm="1">
        <f t="array" ref="AM69">[56]!IMPLYASKVOLUME1</f>
        <v>0</v>
      </c>
      <c r="AN69" cm="1">
        <f t="array" ref="AN69">[56]!VOLUMEBIDLOT</f>
        <v>0</v>
      </c>
      <c r="AO69" cm="1">
        <f t="array" ref="AO69">[56]!VOLUMEASKLOT</f>
        <v>0</v>
      </c>
    </row>
    <row r="70" spans="1:41" x14ac:dyDescent="0.25">
      <c r="A70" t="s">
        <v>170</v>
      </c>
      <c r="B70" t="s">
        <v>288</v>
      </c>
      <c r="C70" cm="1">
        <f t="array" ref="C70">[59]!NETVOLUME3862909776</f>
        <v>0</v>
      </c>
      <c r="D70" cm="1">
        <f t="array" ref="D70">[59]!LONGPOSITION3862909776</f>
        <v>0</v>
      </c>
      <c r="E70" cm="1">
        <f t="array" ref="E70">[59]!SHORTPOSITION3862909776</f>
        <v>0</v>
      </c>
      <c r="F70" cm="1">
        <f t="array" ref="F70">[59]!MTMPL3862909776</f>
        <v>0</v>
      </c>
      <c r="G70" cm="1">
        <f t="array" ref="G70">[59]!LASTPRICE</f>
        <v>14700</v>
      </c>
      <c r="H70" cm="1">
        <f t="array" ref="H70">[59]!NETCHANGE</f>
        <v>75</v>
      </c>
      <c r="I70" t="str" cm="1">
        <f t="array" ref="I70">[59]!NETCHANGERATE</f>
        <v>+0.51%</v>
      </c>
      <c r="J70" cm="1">
        <f t="array" ref="J70">[59]!BIDVOLUME1</f>
        <v>19</v>
      </c>
      <c r="K70" cm="1">
        <f t="array" ref="K70">[59]!BIDPRICE1</f>
        <v>14695</v>
      </c>
      <c r="L70" cm="1">
        <f t="array" ref="L70">[59]!ASKPRICE1</f>
        <v>14700</v>
      </c>
      <c r="M70" cm="1">
        <f t="array" ref="M70">[59]!ASKVOLUME1</f>
        <v>10</v>
      </c>
      <c r="N70" cm="1">
        <f t="array" ref="N70">[59]!OPENPRICE</f>
        <v>14675</v>
      </c>
      <c r="O70" cm="1">
        <f t="array" ref="O70">[59]!HIGH</f>
        <v>14770</v>
      </c>
      <c r="P70" cm="1">
        <f t="array" ref="P70">[59]!LOW</f>
        <v>14590</v>
      </c>
      <c r="Q70" cm="1">
        <f t="array" ref="Q70">[59]!TRADEVOLUME</f>
        <v>46234</v>
      </c>
      <c r="R70" cm="1">
        <f t="array" ref="R70">[59]!POSIVOL</f>
        <v>63166</v>
      </c>
      <c r="S70" cm="1">
        <f t="array" ref="S70">[59]!POSIVOLCHANGE</f>
        <v>0</v>
      </c>
      <c r="T70" cm="1">
        <f t="array" ref="T70">[59]!POSIVOLCHANGEDAILY</f>
        <v>-3805</v>
      </c>
      <c r="U70" t="str" cm="1">
        <f t="array" ref="U70">[59]!INST_STATE</f>
        <v>连续交易</v>
      </c>
      <c r="V70" t="str" cm="1">
        <f t="array" ref="V70">[59]!UPDATETIME</f>
        <v>09:51:32.000</v>
      </c>
      <c r="W70" cm="1">
        <f t="array" ref="W70">[59]!UPPERLIMITPRICE</f>
        <v>15940</v>
      </c>
      <c r="X70" cm="1">
        <f t="array" ref="X70">[59]!LOWERLIMITPRICE</f>
        <v>13305</v>
      </c>
      <c r="Y70" t="e" cm="1">
        <f t="array" ref="Y70">[59]!CLOSEPRICE</f>
        <v>#N/A</v>
      </c>
      <c r="Z70" t="e" cm="1">
        <f t="array" ref="Z70">[59]!SETTLEPRICE</f>
        <v>#N/A</v>
      </c>
      <c r="AA70" cm="1">
        <f t="array" ref="AA70">[59]!PRECLOSE</f>
        <v>14690</v>
      </c>
      <c r="AB70" cm="1">
        <f t="array" ref="AB70">[59]!PRESETTLEPRICE</f>
        <v>14625</v>
      </c>
      <c r="AC70" t="s">
        <v>124</v>
      </c>
      <c r="AD70" t="s">
        <v>171</v>
      </c>
      <c r="AE70">
        <v>10</v>
      </c>
      <c r="AF70">
        <v>20260715</v>
      </c>
      <c r="AG70" t="e" cm="1">
        <f t="array" ref="AG70">[59]!MARGIN</f>
        <v>#N/A</v>
      </c>
      <c r="AH70" t="e" cm="1">
        <f t="array" ref="AH70">[59]!FEE</f>
        <v>#N/A</v>
      </c>
      <c r="AI70" t="s">
        <v>210</v>
      </c>
      <c r="AJ70" cm="1">
        <f t="array" ref="AJ70">[59]!IMPLYBIDVOLUME1</f>
        <v>0</v>
      </c>
      <c r="AK70" t="e" cm="1">
        <f t="array" ref="AK70">[59]!IMPLYBIDPRICE1</f>
        <v>#N/A</v>
      </c>
      <c r="AL70" t="e" cm="1">
        <f t="array" ref="AL70">[59]!IMPLYASKPRICE1</f>
        <v>#N/A</v>
      </c>
      <c r="AM70" cm="1">
        <f t="array" ref="AM70">[59]!IMPLYASKVOLUME1</f>
        <v>0</v>
      </c>
      <c r="AN70" cm="1">
        <f t="array" ref="AN70">[59]!VOLUMEBIDLOT</f>
        <v>0</v>
      </c>
      <c r="AO70" cm="1">
        <f t="array" ref="AO70">[59]!VOLUMEASKLOT</f>
        <v>0</v>
      </c>
    </row>
    <row r="71" spans="1:41" x14ac:dyDescent="0.25">
      <c r="A71" t="s">
        <v>192</v>
      </c>
      <c r="B71" t="s">
        <v>289</v>
      </c>
      <c r="C71" cm="1">
        <f t="array" ref="C71">[69]!NETVOLUME3862909776</f>
        <v>0</v>
      </c>
      <c r="D71" cm="1">
        <f t="array" ref="D71">[69]!LONGPOSITION3862909776</f>
        <v>0</v>
      </c>
      <c r="E71" cm="1">
        <f t="array" ref="E71">[69]!SHORTPOSITION3862909776</f>
        <v>0</v>
      </c>
      <c r="F71" cm="1">
        <f t="array" ref="F71">[69]!MTMPL3862909776</f>
        <v>0</v>
      </c>
      <c r="G71" cm="1">
        <f t="array" ref="G71">[69]!LASTPRICE</f>
        <v>614.6</v>
      </c>
      <c r="H71" cm="1">
        <f t="array" ref="H71">[69]!NETCHANGE</f>
        <v>-36</v>
      </c>
      <c r="I71" t="str" cm="1">
        <f t="array" ref="I71">[69]!NETCHANGERATE</f>
        <v>-5.53%</v>
      </c>
      <c r="J71" cm="1">
        <f t="array" ref="J71">[69]!BIDVOLUME1</f>
        <v>2</v>
      </c>
      <c r="K71" cm="1">
        <f t="array" ref="K71">[69]!BIDPRICE1</f>
        <v>614.5</v>
      </c>
      <c r="L71" cm="1">
        <f t="array" ref="L71">[69]!ASKPRICE1</f>
        <v>614.6</v>
      </c>
      <c r="M71" cm="1">
        <f t="array" ref="M71">[69]!ASKVOLUME1</f>
        <v>6</v>
      </c>
      <c r="N71" cm="1">
        <f t="array" ref="N71">[69]!OPENPRICE</f>
        <v>636</v>
      </c>
      <c r="O71" cm="1">
        <f t="array" ref="O71">[69]!HIGH</f>
        <v>643</v>
      </c>
      <c r="P71" cm="1">
        <f t="array" ref="P71">[69]!LOW</f>
        <v>608.5</v>
      </c>
      <c r="Q71" cm="1">
        <f t="array" ref="Q71">[69]!TRADEVOLUME</f>
        <v>37372</v>
      </c>
      <c r="R71" cm="1">
        <f t="array" ref="R71">[69]!POSIVOL</f>
        <v>37822</v>
      </c>
      <c r="S71" cm="1">
        <f t="array" ref="S71">[69]!POSIVOLCHANGE</f>
        <v>0</v>
      </c>
      <c r="T71" cm="1">
        <f t="array" ref="T71">[69]!POSIVOLCHANGEDAILY</f>
        <v>14</v>
      </c>
      <c r="U71" t="str" cm="1">
        <f t="array" ref="U71">[69]!INST_STATE</f>
        <v>连续交易</v>
      </c>
      <c r="V71" t="str" cm="1">
        <f t="array" ref="V71">[69]!UPDATETIME</f>
        <v>09:51:32.000</v>
      </c>
      <c r="W71" cm="1">
        <f t="array" ref="W71">[69]!UPPERLIMITPRICE</f>
        <v>780.7</v>
      </c>
      <c r="X71" cm="1">
        <f t="array" ref="X71">[69]!LOWERLIMITPRICE</f>
        <v>520.4</v>
      </c>
      <c r="Y71" t="e" cm="1">
        <f t="array" ref="Y71">[69]!CLOSEPRICE</f>
        <v>#N/A</v>
      </c>
      <c r="Z71" t="e" cm="1">
        <f t="array" ref="Z71">[69]!SETTLEPRICE</f>
        <v>#N/A</v>
      </c>
      <c r="AA71" cm="1">
        <f t="array" ref="AA71">[69]!PRECLOSE</f>
        <v>641.1</v>
      </c>
      <c r="AB71" cm="1">
        <f t="array" ref="AB71">[69]!PRESETTLEPRICE</f>
        <v>650.6</v>
      </c>
      <c r="AC71" t="s">
        <v>124</v>
      </c>
      <c r="AD71" t="s">
        <v>193</v>
      </c>
      <c r="AE71">
        <v>1000</v>
      </c>
      <c r="AF71">
        <v>20260630</v>
      </c>
      <c r="AG71" t="e" cm="1">
        <f t="array" ref="AG71">[69]!MARGIN</f>
        <v>#N/A</v>
      </c>
      <c r="AH71" t="e" cm="1">
        <f t="array" ref="AH71">[69]!FEE</f>
        <v>#N/A</v>
      </c>
      <c r="AI71" t="s">
        <v>210</v>
      </c>
      <c r="AJ71" cm="1">
        <f t="array" ref="AJ71">[69]!IMPLYBIDVOLUME1</f>
        <v>0</v>
      </c>
      <c r="AK71" t="e" cm="1">
        <f t="array" ref="AK71">[69]!IMPLYBIDPRICE1</f>
        <v>#N/A</v>
      </c>
      <c r="AL71" t="e" cm="1">
        <f t="array" ref="AL71">[69]!IMPLYASKPRICE1</f>
        <v>#N/A</v>
      </c>
      <c r="AM71" cm="1">
        <f t="array" ref="AM71">[69]!IMPLYASKVOLUME1</f>
        <v>0</v>
      </c>
      <c r="AN71" cm="1">
        <f t="array" ref="AN71">[69]!VOLUMEBIDLOT</f>
        <v>0</v>
      </c>
      <c r="AO71" cm="1">
        <f t="array" ref="AO71">[69]!VOLUMEASKLOT</f>
        <v>0</v>
      </c>
    </row>
    <row r="72" spans="1:41" x14ac:dyDescent="0.25">
      <c r="A72" t="s">
        <v>109</v>
      </c>
      <c r="B72" t="s">
        <v>290</v>
      </c>
      <c r="C72" cm="1">
        <f t="array" ref="C72">[32]!NETVOLUME3862909776</f>
        <v>0</v>
      </c>
      <c r="D72" cm="1">
        <f t="array" ref="D72">[32]!LONGPOSITION3862909776</f>
        <v>0</v>
      </c>
      <c r="E72" cm="1">
        <f t="array" ref="E72">[32]!SHORTPOSITION3862909776</f>
        <v>0</v>
      </c>
      <c r="F72" cm="1">
        <f t="array" ref="F72">[32]!MTMPL3862909776</f>
        <v>0</v>
      </c>
      <c r="G72" cm="1">
        <f t="array" ref="G72">[32]!LASTPRICE</f>
        <v>23125</v>
      </c>
      <c r="H72" cm="1">
        <f t="array" ref="H72">[32]!NETCHANGE</f>
        <v>5</v>
      </c>
      <c r="I72" t="str" cm="1">
        <f t="array" ref="I72">[32]!NETCHANGERATE</f>
        <v>+0.02%</v>
      </c>
      <c r="J72" cm="1">
        <f t="array" ref="J72">[32]!BIDVOLUME1</f>
        <v>11</v>
      </c>
      <c r="K72" cm="1">
        <f t="array" ref="K72">[32]!BIDPRICE1</f>
        <v>23125</v>
      </c>
      <c r="L72" cm="1">
        <f t="array" ref="L72">[32]!ASKPRICE1</f>
        <v>23130</v>
      </c>
      <c r="M72" cm="1">
        <f t="array" ref="M72">[32]!ASKVOLUME1</f>
        <v>7</v>
      </c>
      <c r="N72" cm="1">
        <f t="array" ref="N72">[32]!OPENPRICE</f>
        <v>23175</v>
      </c>
      <c r="O72" cm="1">
        <f t="array" ref="O72">[32]!HIGH</f>
        <v>23200</v>
      </c>
      <c r="P72" cm="1">
        <f t="array" ref="P72">[32]!LOW</f>
        <v>22980</v>
      </c>
      <c r="Q72" cm="1">
        <f t="array" ref="Q72">[32]!TRADEVOLUME</f>
        <v>3300</v>
      </c>
      <c r="R72" cm="1">
        <f t="array" ref="R72">[32]!POSIVOL</f>
        <v>15077</v>
      </c>
      <c r="S72" cm="1">
        <f t="array" ref="S72">[32]!POSIVOLCHANGE</f>
        <v>0</v>
      </c>
      <c r="T72" cm="1">
        <f t="array" ref="T72">[32]!POSIVOLCHANGEDAILY</f>
        <v>-22</v>
      </c>
      <c r="U72" t="str" cm="1">
        <f t="array" ref="U72">[32]!INST_STATE</f>
        <v>连续交易</v>
      </c>
      <c r="V72" t="str" cm="1">
        <f t="array" ref="V72">[32]!UPDATETIME</f>
        <v>09:51:32.000</v>
      </c>
      <c r="W72" cm="1">
        <f t="array" ref="W72">[32]!UPPERLIMITPRICE</f>
        <v>24965</v>
      </c>
      <c r="X72" cm="1">
        <f t="array" ref="X72">[32]!LOWERLIMITPRICE</f>
        <v>21270</v>
      </c>
      <c r="Y72" t="e" cm="1">
        <f t="array" ref="Y72">[32]!CLOSEPRICE</f>
        <v>#N/A</v>
      </c>
      <c r="Z72" t="e" cm="1">
        <f t="array" ref="Z72">[32]!SETTLEPRICE</f>
        <v>#N/A</v>
      </c>
      <c r="AA72" cm="1">
        <f t="array" ref="AA72">[32]!PRECLOSE</f>
        <v>23105</v>
      </c>
      <c r="AB72" cm="1">
        <f t="array" ref="AB72">[32]!PRESETTLEPRICE</f>
        <v>23120</v>
      </c>
      <c r="AC72" t="s">
        <v>110</v>
      </c>
      <c r="AD72" t="s">
        <v>111</v>
      </c>
      <c r="AE72">
        <v>10</v>
      </c>
      <c r="AF72">
        <v>20260715</v>
      </c>
      <c r="AG72" t="e" cm="1">
        <f t="array" ref="AG72">[32]!MARGIN</f>
        <v>#N/A</v>
      </c>
      <c r="AH72" t="e" cm="1">
        <f t="array" ref="AH72">[32]!FEE</f>
        <v>#N/A</v>
      </c>
      <c r="AI72" t="s">
        <v>210</v>
      </c>
      <c r="AJ72" cm="1">
        <f t="array" ref="AJ72">[32]!IMPLYBIDVOLUME1</f>
        <v>0</v>
      </c>
      <c r="AK72" t="e" cm="1">
        <f t="array" ref="AK72">[32]!IMPLYBIDPRICE1</f>
        <v>#N/A</v>
      </c>
      <c r="AL72" t="e" cm="1">
        <f t="array" ref="AL72">[32]!IMPLYASKPRICE1</f>
        <v>#N/A</v>
      </c>
      <c r="AM72" cm="1">
        <f t="array" ref="AM72">[32]!IMPLYASKVOLUME1</f>
        <v>0</v>
      </c>
      <c r="AN72" cm="1">
        <f t="array" ref="AN72">[32]!VOLUMEBIDLOT</f>
        <v>0</v>
      </c>
      <c r="AO72" cm="1">
        <f t="array" ref="AO72">[32]!VOLUMEASKLOT</f>
        <v>0</v>
      </c>
    </row>
    <row r="73" spans="1:41" x14ac:dyDescent="0.25">
      <c r="A73" t="s">
        <v>112</v>
      </c>
      <c r="B73" t="s">
        <v>291</v>
      </c>
      <c r="C73" cm="1">
        <f t="array" ref="C73">[33]!NETVOLUME3862909776</f>
        <v>0</v>
      </c>
      <c r="D73" cm="1">
        <f t="array" ref="D73">[33]!LONGPOSITION3862909776</f>
        <v>0</v>
      </c>
      <c r="E73" cm="1">
        <f t="array" ref="E73">[33]!SHORTPOSITION3862909776</f>
        <v>0</v>
      </c>
      <c r="F73" cm="1">
        <f t="array" ref="F73">[33]!MTMPL3862909776</f>
        <v>0</v>
      </c>
      <c r="G73" cm="1">
        <f t="array" ref="G73">[33]!LASTPRICE</f>
        <v>19117</v>
      </c>
      <c r="H73" cm="1">
        <f t="array" ref="H73">[33]!NETCHANGE</f>
        <v>530</v>
      </c>
      <c r="I73" t="str" cm="1">
        <f t="array" ref="I73">[33]!NETCHANGERATE</f>
        <v>+2.85%</v>
      </c>
      <c r="J73" cm="1">
        <f t="array" ref="J73">[33]!BIDVOLUME1</f>
        <v>3</v>
      </c>
      <c r="K73" cm="1">
        <f t="array" ref="K73">[33]!BIDPRICE1</f>
        <v>19116</v>
      </c>
      <c r="L73" cm="1">
        <f t="array" ref="L73">[33]!ASKPRICE1</f>
        <v>19117</v>
      </c>
      <c r="M73" cm="1">
        <f t="array" ref="M73">[33]!ASKVOLUME1</f>
        <v>8</v>
      </c>
      <c r="N73" cm="1">
        <f t="array" ref="N73">[33]!OPENPRICE</f>
        <v>18634</v>
      </c>
      <c r="O73" cm="1">
        <f t="array" ref="O73">[33]!HIGH</f>
        <v>19288</v>
      </c>
      <c r="P73" cm="1">
        <f t="array" ref="P73">[33]!LOW</f>
        <v>18378</v>
      </c>
      <c r="Q73" cm="1">
        <f t="array" ref="Q73">[33]!TRADEVOLUME</f>
        <v>611344</v>
      </c>
      <c r="R73" cm="1">
        <f t="array" ref="R73">[33]!POSIVOL</f>
        <v>243341</v>
      </c>
      <c r="S73" cm="1">
        <f t="array" ref="S73">[33]!POSIVOLCHANGE</f>
        <v>0</v>
      </c>
      <c r="T73" cm="1">
        <f t="array" ref="T73">[33]!POSIVOLCHANGEDAILY</f>
        <v>10267</v>
      </c>
      <c r="U73" t="str" cm="1">
        <f t="array" ref="U73">[33]!INST_STATE</f>
        <v>连续交易</v>
      </c>
      <c r="V73" t="str" cm="1">
        <f t="array" ref="V73">[33]!UPDATETIME</f>
        <v>09:51:32.000</v>
      </c>
      <c r="W73" cm="1">
        <f t="array" ref="W73">[33]!UPPERLIMITPRICE</f>
        <v>22304</v>
      </c>
      <c r="X73" cm="1">
        <f t="array" ref="X73">[33]!LOWERLIMITPRICE</f>
        <v>14869</v>
      </c>
      <c r="Y73" t="e" cm="1">
        <f t="array" ref="Y73">[33]!CLOSEPRICE</f>
        <v>#N/A</v>
      </c>
      <c r="Z73" t="e" cm="1">
        <f t="array" ref="Z73">[33]!SETTLEPRICE</f>
        <v>#N/A</v>
      </c>
      <c r="AA73" cm="1">
        <f t="array" ref="AA73">[33]!PRECLOSE</f>
        <v>18681</v>
      </c>
      <c r="AB73" cm="1">
        <f t="array" ref="AB73">[33]!PRESETTLEPRICE</f>
        <v>18587</v>
      </c>
      <c r="AC73" t="s">
        <v>110</v>
      </c>
      <c r="AD73" t="s">
        <v>113</v>
      </c>
      <c r="AE73">
        <v>15</v>
      </c>
      <c r="AF73">
        <v>20260817</v>
      </c>
      <c r="AG73" t="e" cm="1">
        <f t="array" ref="AG73">[33]!MARGIN</f>
        <v>#N/A</v>
      </c>
      <c r="AH73" t="e" cm="1">
        <f t="array" ref="AH73">[33]!FEE</f>
        <v>#N/A</v>
      </c>
      <c r="AI73" t="s">
        <v>210</v>
      </c>
      <c r="AJ73" cm="1">
        <f t="array" ref="AJ73">[33]!IMPLYBIDVOLUME1</f>
        <v>0</v>
      </c>
      <c r="AK73" t="e" cm="1">
        <f t="array" ref="AK73">[33]!IMPLYBIDPRICE1</f>
        <v>#N/A</v>
      </c>
      <c r="AL73" t="e" cm="1">
        <f t="array" ref="AL73">[33]!IMPLYASKPRICE1</f>
        <v>#N/A</v>
      </c>
      <c r="AM73" cm="1">
        <f t="array" ref="AM73">[33]!IMPLYASKVOLUME1</f>
        <v>0</v>
      </c>
      <c r="AN73" cm="1">
        <f t="array" ref="AN73">[33]!VOLUMEBIDLOT</f>
        <v>0</v>
      </c>
      <c r="AO73" cm="1">
        <f t="array" ref="AO73">[33]!VOLUMEASKLOT</f>
        <v>0</v>
      </c>
    </row>
    <row r="74" spans="1:41" x14ac:dyDescent="0.25">
      <c r="A74" t="s">
        <v>114</v>
      </c>
      <c r="B74" t="s">
        <v>292</v>
      </c>
      <c r="C74" cm="1">
        <f t="array" ref="C74">[34]!NETVOLUME3862909776</f>
        <v>0</v>
      </c>
      <c r="D74" cm="1">
        <f t="array" ref="D74">[34]!LONGPOSITION3862909776</f>
        <v>0</v>
      </c>
      <c r="E74" cm="1">
        <f t="array" ref="E74">[34]!SHORTPOSITION3862909776</f>
        <v>0</v>
      </c>
      <c r="F74" cm="1">
        <f t="array" ref="F74">[34]!MTMPL3862909776</f>
        <v>0</v>
      </c>
      <c r="G74" cm="1">
        <f t="array" ref="G74">[34]!LASTPRICE</f>
        <v>24500</v>
      </c>
      <c r="H74" cm="1">
        <f t="array" ref="H74">[34]!NETCHANGE</f>
        <v>-5</v>
      </c>
      <c r="I74" t="str" cm="1">
        <f t="array" ref="I74">[34]!NETCHANGERATE</f>
        <v>-0.02%</v>
      </c>
      <c r="J74" cm="1">
        <f t="array" ref="J74">[34]!BIDVOLUME1</f>
        <v>70</v>
      </c>
      <c r="K74" cm="1">
        <f t="array" ref="K74">[34]!BIDPRICE1</f>
        <v>24495</v>
      </c>
      <c r="L74" cm="1">
        <f t="array" ref="L74">[34]!ASKPRICE1</f>
        <v>24500</v>
      </c>
      <c r="M74" cm="1">
        <f t="array" ref="M74">[34]!ASKVOLUME1</f>
        <v>141</v>
      </c>
      <c r="N74" cm="1">
        <f t="array" ref="N74">[34]!OPENPRICE</f>
        <v>24505</v>
      </c>
      <c r="O74" cm="1">
        <f t="array" ref="O74">[34]!HIGH</f>
        <v>24570</v>
      </c>
      <c r="P74" cm="1">
        <f t="array" ref="P74">[34]!LOW</f>
        <v>24375</v>
      </c>
      <c r="Q74" cm="1">
        <f t="array" ref="Q74">[34]!TRADEVOLUME</f>
        <v>120038</v>
      </c>
      <c r="R74" cm="1">
        <f t="array" ref="R74">[34]!POSIVOL</f>
        <v>285405</v>
      </c>
      <c r="S74" cm="1">
        <f t="array" ref="S74">[34]!POSIVOLCHANGE</f>
        <v>0</v>
      </c>
      <c r="T74" cm="1">
        <f t="array" ref="T74">[34]!POSIVOLCHANGEDAILY</f>
        <v>7747</v>
      </c>
      <c r="U74" t="str" cm="1">
        <f t="array" ref="U74">[34]!INST_STATE</f>
        <v>连续交易</v>
      </c>
      <c r="V74" t="str" cm="1">
        <f t="array" ref="V74">[34]!UPDATETIME</f>
        <v>09:51:31.500</v>
      </c>
      <c r="W74" cm="1">
        <f t="array" ref="W74">[34]!UPPERLIMITPRICE</f>
        <v>26955</v>
      </c>
      <c r="X74" cm="1">
        <f t="array" ref="X74">[34]!LOWERLIMITPRICE</f>
        <v>22050</v>
      </c>
      <c r="Y74" t="e" cm="1">
        <f t="array" ref="Y74">[34]!CLOSEPRICE</f>
        <v>#N/A</v>
      </c>
      <c r="Z74" t="e" cm="1">
        <f t="array" ref="Z74">[34]!SETTLEPRICE</f>
        <v>#N/A</v>
      </c>
      <c r="AA74" cm="1">
        <f t="array" ref="AA74">[34]!PRECLOSE</f>
        <v>24505</v>
      </c>
      <c r="AB74" cm="1">
        <f t="array" ref="AB74">[34]!PRESETTLEPRICE</f>
        <v>24505</v>
      </c>
      <c r="AC74" t="s">
        <v>110</v>
      </c>
      <c r="AD74" t="s">
        <v>115</v>
      </c>
      <c r="AE74">
        <v>5</v>
      </c>
      <c r="AF74">
        <v>20260715</v>
      </c>
      <c r="AG74" t="e" cm="1">
        <f t="array" ref="AG74">[34]!MARGIN</f>
        <v>#N/A</v>
      </c>
      <c r="AH74" t="e" cm="1">
        <f t="array" ref="AH74">[34]!FEE</f>
        <v>#N/A</v>
      </c>
      <c r="AI74" t="s">
        <v>210</v>
      </c>
      <c r="AJ74" cm="1">
        <f t="array" ref="AJ74">[34]!IMPLYBIDVOLUME1</f>
        <v>0</v>
      </c>
      <c r="AK74" t="e" cm="1">
        <f t="array" ref="AK74">[34]!IMPLYBIDPRICE1</f>
        <v>#N/A</v>
      </c>
      <c r="AL74" t="e" cm="1">
        <f t="array" ref="AL74">[34]!IMPLYASKPRICE1</f>
        <v>#N/A</v>
      </c>
      <c r="AM74" cm="1">
        <f t="array" ref="AM74">[34]!IMPLYASKVOLUME1</f>
        <v>0</v>
      </c>
      <c r="AN74" cm="1">
        <f t="array" ref="AN74">[34]!VOLUMEBIDLOT</f>
        <v>0</v>
      </c>
      <c r="AO74" cm="1">
        <f t="array" ref="AO74">[34]!VOLUMEASKLOT</f>
        <v>0</v>
      </c>
    </row>
    <row r="75" spans="1:41" x14ac:dyDescent="0.25">
      <c r="A75" t="s">
        <v>116</v>
      </c>
      <c r="B75" t="s">
        <v>293</v>
      </c>
      <c r="C75" cm="1">
        <f t="array" ref="C75">[35]!NETVOLUME3862909776</f>
        <v>0</v>
      </c>
      <c r="D75" cm="1">
        <f t="array" ref="D75">[35]!LONGPOSITION3862909776</f>
        <v>0</v>
      </c>
      <c r="E75" cm="1">
        <f t="array" ref="E75">[35]!SHORTPOSITION3862909776</f>
        <v>0</v>
      </c>
      <c r="F75" cm="1">
        <f t="array" ref="F75">[35]!MTMPL3862909776</f>
        <v>0</v>
      </c>
      <c r="G75" cm="1">
        <f t="array" ref="G75">[35]!LASTPRICE</f>
        <v>2723</v>
      </c>
      <c r="H75" cm="1">
        <f t="array" ref="H75">[35]!NETCHANGE</f>
        <v>13</v>
      </c>
      <c r="I75" t="str" cm="1">
        <f t="array" ref="I75">[35]!NETCHANGERATE</f>
        <v>+0.48%</v>
      </c>
      <c r="J75" cm="1">
        <f t="array" ref="J75">[35]!BIDVOLUME1</f>
        <v>84</v>
      </c>
      <c r="K75" cm="1">
        <f t="array" ref="K75">[35]!BIDPRICE1</f>
        <v>2722</v>
      </c>
      <c r="L75" cm="1">
        <f t="array" ref="L75">[35]!ASKPRICE1</f>
        <v>2723</v>
      </c>
      <c r="M75" cm="1">
        <f t="array" ref="M75">[35]!ASKVOLUME1</f>
        <v>66</v>
      </c>
      <c r="N75" cm="1">
        <f t="array" ref="N75">[35]!OPENPRICE</f>
        <v>2713</v>
      </c>
      <c r="O75" cm="1">
        <f t="array" ref="O75">[35]!HIGH</f>
        <v>2741</v>
      </c>
      <c r="P75" cm="1">
        <f t="array" ref="P75">[35]!LOW</f>
        <v>2685</v>
      </c>
      <c r="Q75" cm="1">
        <f t="array" ref="Q75">[35]!TRADEVOLUME</f>
        <v>255171</v>
      </c>
      <c r="R75" cm="1">
        <f t="array" ref="R75">[35]!POSIVOL</f>
        <v>414738</v>
      </c>
      <c r="S75" cm="1">
        <f t="array" ref="S75">[35]!POSIVOLCHANGE</f>
        <v>0</v>
      </c>
      <c r="T75" cm="1">
        <f t="array" ref="T75">[35]!POSIVOLCHANGEDAILY</f>
        <v>3223</v>
      </c>
      <c r="U75" t="str" cm="1">
        <f t="array" ref="U75">[35]!INST_STATE</f>
        <v>连续交易</v>
      </c>
      <c r="V75" t="str" cm="1">
        <f t="array" ref="V75">[35]!UPDATETIME</f>
        <v>09:51:32.000</v>
      </c>
      <c r="W75" cm="1">
        <f t="array" ref="W75">[35]!UPPERLIMITPRICE</f>
        <v>2981</v>
      </c>
      <c r="X75" cm="1">
        <f t="array" ref="X75">[35]!LOWERLIMITPRICE</f>
        <v>2439</v>
      </c>
      <c r="Y75" t="e" cm="1">
        <f t="array" ref="Y75">[35]!CLOSEPRICE</f>
        <v>#N/A</v>
      </c>
      <c r="Z75" t="e" cm="1">
        <f t="array" ref="Z75">[35]!SETTLEPRICE</f>
        <v>#N/A</v>
      </c>
      <c r="AA75" cm="1">
        <f t="array" ref="AA75">[35]!PRECLOSE</f>
        <v>2717</v>
      </c>
      <c r="AB75" cm="1">
        <f t="array" ref="AB75">[35]!PRESETTLEPRICE</f>
        <v>2710</v>
      </c>
      <c r="AC75" t="s">
        <v>110</v>
      </c>
      <c r="AD75" t="s">
        <v>117</v>
      </c>
      <c r="AE75">
        <v>20</v>
      </c>
      <c r="AF75">
        <v>20260915</v>
      </c>
      <c r="AG75" t="e" cm="1">
        <f t="array" ref="AG75">[35]!MARGIN</f>
        <v>#N/A</v>
      </c>
      <c r="AH75" t="e" cm="1">
        <f t="array" ref="AH75">[35]!FEE</f>
        <v>#N/A</v>
      </c>
      <c r="AI75" t="s">
        <v>210</v>
      </c>
      <c r="AJ75" cm="1">
        <f t="array" ref="AJ75">[35]!IMPLYBIDVOLUME1</f>
        <v>0</v>
      </c>
      <c r="AK75" t="e" cm="1">
        <f t="array" ref="AK75">[35]!IMPLYBIDPRICE1</f>
        <v>#N/A</v>
      </c>
      <c r="AL75" t="e" cm="1">
        <f t="array" ref="AL75">[35]!IMPLYASKPRICE1</f>
        <v>#N/A</v>
      </c>
      <c r="AM75" cm="1">
        <f t="array" ref="AM75">[35]!IMPLYASKVOLUME1</f>
        <v>0</v>
      </c>
      <c r="AN75" cm="1">
        <f t="array" ref="AN75">[35]!VOLUMEBIDLOT</f>
        <v>0</v>
      </c>
      <c r="AO75" cm="1">
        <f t="array" ref="AO75">[35]!VOLUMEASKLOT</f>
        <v>0</v>
      </c>
    </row>
    <row r="76" spans="1:41" x14ac:dyDescent="0.25">
      <c r="A76" t="s">
        <v>294</v>
      </c>
      <c r="B76" t="s">
        <v>295</v>
      </c>
      <c r="C76" cm="1">
        <f t="array" ref="C76">[87]!NETVOLUME3862909776</f>
        <v>0</v>
      </c>
      <c r="D76" cm="1">
        <f t="array" ref="D76">[87]!LONGPOSITION3862909776</f>
        <v>0</v>
      </c>
      <c r="E76" cm="1">
        <f t="array" ref="E76">[87]!SHORTPOSITION3862909776</f>
        <v>0</v>
      </c>
      <c r="F76" cm="1">
        <f t="array" ref="F76">[87]!MTMPL3862909776</f>
        <v>0</v>
      </c>
      <c r="G76" cm="1">
        <f t="array" ref="G76">[87]!LASTPRICE</f>
        <v>1002.26</v>
      </c>
      <c r="H76" cm="1">
        <f t="array" ref="H76">[87]!NETCHANGE</f>
        <v>7.8799999999999955</v>
      </c>
      <c r="I76" t="str" cm="1">
        <f t="array" ref="I76">[87]!NETCHANGERATE</f>
        <v>+0.79%</v>
      </c>
      <c r="J76" cm="1">
        <f t="array" ref="J76">[87]!BIDVOLUME1</f>
        <v>2</v>
      </c>
      <c r="K76" cm="1">
        <f t="array" ref="K76">[87]!BIDPRICE1</f>
        <v>1002.2</v>
      </c>
      <c r="L76" cm="1">
        <f t="array" ref="L76">[87]!ASKPRICE1</f>
        <v>1002.28</v>
      </c>
      <c r="M76" cm="1">
        <f t="array" ref="M76">[87]!ASKVOLUME1</f>
        <v>8</v>
      </c>
      <c r="N76" cm="1">
        <f t="array" ref="N76">[87]!OPENPRICE</f>
        <v>993.98</v>
      </c>
      <c r="O76" cm="1">
        <f t="array" ref="O76">[87]!HIGH</f>
        <v>1005.6</v>
      </c>
      <c r="P76" cm="1">
        <f t="array" ref="P76">[87]!LOW</f>
        <v>988.14</v>
      </c>
      <c r="Q76" cm="1">
        <f t="array" ref="Q76">[87]!TRADEVOLUME</f>
        <v>94690</v>
      </c>
      <c r="R76" cm="1">
        <f t="array" ref="R76">[87]!POSIVOL</f>
        <v>158464</v>
      </c>
      <c r="S76" cm="1">
        <f t="array" ref="S76">[87]!POSIVOLCHANGE</f>
        <v>0</v>
      </c>
      <c r="T76" cm="1">
        <f t="array" ref="T76">[87]!POSIVOLCHANGEDAILY</f>
        <v>5061</v>
      </c>
      <c r="U76" t="str" cm="1">
        <f t="array" ref="U76">[87]!INST_STATE</f>
        <v>连续交易</v>
      </c>
      <c r="V76" t="str" cm="1">
        <f t="array" ref="V76">[87]!UPDATETIME</f>
        <v>09:51:32.000</v>
      </c>
      <c r="W76" cm="1">
        <f t="array" ref="W76">[87]!UPPERLIMITPRICE</f>
        <v>1163.42</v>
      </c>
      <c r="X76" cm="1">
        <f t="array" ref="X76">[87]!LOWERLIMITPRICE</f>
        <v>825.32</v>
      </c>
      <c r="Y76" t="e" cm="1">
        <f t="array" ref="Y76">[87]!CLOSEPRICE</f>
        <v>#N/A</v>
      </c>
      <c r="Z76" t="e" cm="1">
        <f t="array" ref="Z76">[87]!SETTLEPRICE</f>
        <v>#N/A</v>
      </c>
      <c r="AA76" cm="1">
        <f t="array" ref="AA76">[87]!PRECLOSE</f>
        <v>995.76</v>
      </c>
      <c r="AB76" cm="1">
        <f t="array" ref="AB76">[87]!PRESETTLEPRICE</f>
        <v>994.38</v>
      </c>
      <c r="AC76" t="s">
        <v>110</v>
      </c>
      <c r="AD76" t="s">
        <v>118</v>
      </c>
      <c r="AE76">
        <v>1000</v>
      </c>
      <c r="AF76">
        <v>20260817</v>
      </c>
      <c r="AG76" t="e" cm="1">
        <f t="array" ref="AG76">[87]!MARGIN</f>
        <v>#N/A</v>
      </c>
      <c r="AH76" t="e" cm="1">
        <f t="array" ref="AH76">[87]!FEE</f>
        <v>#N/A</v>
      </c>
      <c r="AI76" t="s">
        <v>210</v>
      </c>
      <c r="AJ76" cm="1">
        <f t="array" ref="AJ76">[87]!IMPLYBIDVOLUME1</f>
        <v>0</v>
      </c>
      <c r="AK76" t="e" cm="1">
        <f t="array" ref="AK76">[87]!IMPLYBIDPRICE1</f>
        <v>#N/A</v>
      </c>
      <c r="AL76" t="e" cm="1">
        <f t="array" ref="AL76">[87]!IMPLYASKPRICE1</f>
        <v>#N/A</v>
      </c>
      <c r="AM76" cm="1">
        <f t="array" ref="AM76">[87]!IMPLYASKVOLUME1</f>
        <v>0</v>
      </c>
      <c r="AN76" cm="1">
        <f t="array" ref="AN76">[87]!VOLUMEBIDLOT</f>
        <v>0</v>
      </c>
      <c r="AO76" cm="1">
        <f t="array" ref="AO76">[87]!VOLUMEASKLOT</f>
        <v>0</v>
      </c>
    </row>
    <row r="77" spans="1:41" x14ac:dyDescent="0.25">
      <c r="A77" t="s">
        <v>296</v>
      </c>
      <c r="B77" t="s">
        <v>297</v>
      </c>
      <c r="C77" cm="1">
        <f t="array" ref="C77">[88]!NETVOLUME3862909776</f>
        <v>0</v>
      </c>
      <c r="D77" cm="1">
        <f t="array" ref="D77">[88]!LONGPOSITION3862909776</f>
        <v>0</v>
      </c>
      <c r="E77" cm="1">
        <f t="array" ref="E77">[88]!SHORTPOSITION3862909776</f>
        <v>0</v>
      </c>
      <c r="F77" cm="1">
        <f t="array" ref="F77">[88]!MTMPL3862909776</f>
        <v>0</v>
      </c>
      <c r="G77" cm="1">
        <f t="array" ref="G77">[88]!LASTPRICE</f>
        <v>14680</v>
      </c>
      <c r="H77" cm="1">
        <f t="array" ref="H77">[88]!NETCHANGE</f>
        <v>-190</v>
      </c>
      <c r="I77" t="str" cm="1">
        <f t="array" ref="I77">[88]!NETCHANGERATE</f>
        <v>-1.28%</v>
      </c>
      <c r="J77" cm="1">
        <f t="array" ref="J77">[88]!BIDVOLUME1</f>
        <v>17</v>
      </c>
      <c r="K77" cm="1">
        <f t="array" ref="K77">[88]!BIDPRICE1</f>
        <v>14680</v>
      </c>
      <c r="L77" cm="1">
        <f t="array" ref="L77">[88]!ASKPRICE1</f>
        <v>14685</v>
      </c>
      <c r="M77" cm="1">
        <f t="array" ref="M77">[88]!ASKVOLUME1</f>
        <v>6</v>
      </c>
      <c r="N77" cm="1">
        <f t="array" ref="N77">[88]!OPENPRICE</f>
        <v>14760</v>
      </c>
      <c r="O77" cm="1">
        <f t="array" ref="O77">[88]!HIGH</f>
        <v>14945</v>
      </c>
      <c r="P77" cm="1">
        <f t="array" ref="P77">[88]!LOW</f>
        <v>14600</v>
      </c>
      <c r="Q77" cm="1">
        <f t="array" ref="Q77">[88]!TRADEVOLUME</f>
        <v>90720</v>
      </c>
      <c r="R77" cm="1">
        <f t="array" ref="R77">[88]!POSIVOL</f>
        <v>72941</v>
      </c>
      <c r="S77" cm="1">
        <f t="array" ref="S77">[88]!POSIVOLCHANGE</f>
        <v>0</v>
      </c>
      <c r="T77" cm="1">
        <f t="array" ref="T77">[88]!POSIVOLCHANGEDAILY</f>
        <v>1501</v>
      </c>
      <c r="U77" t="str" cm="1">
        <f t="array" ref="U77">[88]!INST_STATE</f>
        <v>连续交易</v>
      </c>
      <c r="V77" t="str" cm="1">
        <f t="array" ref="V77">[88]!UPDATETIME</f>
        <v>09:51:32.000</v>
      </c>
      <c r="W77" cm="1">
        <f t="array" ref="W77">[88]!UPPERLIMITPRICE</f>
        <v>16650</v>
      </c>
      <c r="X77" cm="1">
        <f t="array" ref="X77">[88]!LOWERLIMITPRICE</f>
        <v>13085</v>
      </c>
      <c r="Y77" t="e" cm="1">
        <f t="array" ref="Y77">[88]!CLOSEPRICE</f>
        <v>#N/A</v>
      </c>
      <c r="Z77" t="e" cm="1">
        <f t="array" ref="Z77">[88]!SETTLEPRICE</f>
        <v>#N/A</v>
      </c>
      <c r="AA77" cm="1">
        <f t="array" ref="AA77">[88]!PRECLOSE</f>
        <v>14805</v>
      </c>
      <c r="AB77" cm="1">
        <f t="array" ref="AB77">[88]!PRESETTLEPRICE</f>
        <v>14870</v>
      </c>
      <c r="AC77" t="s">
        <v>110</v>
      </c>
      <c r="AD77" t="s">
        <v>126</v>
      </c>
      <c r="AE77">
        <v>5</v>
      </c>
      <c r="AF77">
        <v>20260715</v>
      </c>
      <c r="AG77" t="e" cm="1">
        <f t="array" ref="AG77">[88]!MARGIN</f>
        <v>#N/A</v>
      </c>
      <c r="AH77" t="e" cm="1">
        <f t="array" ref="AH77">[88]!FEE</f>
        <v>#N/A</v>
      </c>
      <c r="AI77" t="s">
        <v>210</v>
      </c>
      <c r="AJ77" cm="1">
        <f t="array" ref="AJ77">[88]!IMPLYBIDVOLUME1</f>
        <v>0</v>
      </c>
      <c r="AK77" t="e" cm="1">
        <f t="array" ref="AK77">[88]!IMPLYBIDPRICE1</f>
        <v>#N/A</v>
      </c>
      <c r="AL77" t="e" cm="1">
        <f t="array" ref="AL77">[88]!IMPLYASKPRICE1</f>
        <v>#N/A</v>
      </c>
      <c r="AM77" cm="1">
        <f t="array" ref="AM77">[88]!IMPLYASKVOLUME1</f>
        <v>0</v>
      </c>
      <c r="AN77" cm="1">
        <f t="array" ref="AN77">[88]!VOLUMEBIDLOT</f>
        <v>0</v>
      </c>
      <c r="AO77" cm="1">
        <f t="array" ref="AO77">[88]!VOLUMEASKLOT</f>
        <v>0</v>
      </c>
    </row>
    <row r="78" spans="1:41" x14ac:dyDescent="0.25">
      <c r="A78" t="s">
        <v>298</v>
      </c>
      <c r="B78" t="s">
        <v>299</v>
      </c>
      <c r="C78" cm="1">
        <f t="array" ref="C78">[89]!NETVOLUME3862909776</f>
        <v>0</v>
      </c>
      <c r="D78" cm="1">
        <f t="array" ref="D78">[89]!LONGPOSITION3862909776</f>
        <v>0</v>
      </c>
      <c r="E78" cm="1">
        <f t="array" ref="E78">[89]!SHORTPOSITION3862909776</f>
        <v>0</v>
      </c>
      <c r="F78" cm="1">
        <f t="array" ref="F78">[89]!MTMPL3862909776</f>
        <v>0</v>
      </c>
      <c r="G78" cm="1">
        <f t="array" ref="G78">[89]!LASTPRICE</f>
        <v>4214</v>
      </c>
      <c r="H78" cm="1">
        <f t="array" ref="H78">[89]!NETCHANGE</f>
        <v>-138</v>
      </c>
      <c r="I78" t="str" cm="1">
        <f t="array" ref="I78">[89]!NETCHANGERATE</f>
        <v>-3.17%</v>
      </c>
      <c r="J78" cm="1">
        <f t="array" ref="J78">[89]!BIDVOLUME1</f>
        <v>61</v>
      </c>
      <c r="K78" cm="1">
        <f t="array" ref="K78">[89]!BIDPRICE1</f>
        <v>4214</v>
      </c>
      <c r="L78" cm="1">
        <f t="array" ref="L78">[89]!ASKPRICE1</f>
        <v>4215</v>
      </c>
      <c r="M78" cm="1">
        <f t="array" ref="M78">[89]!ASKVOLUME1</f>
        <v>27</v>
      </c>
      <c r="N78" cm="1">
        <f t="array" ref="N78">[89]!OPENPRICE</f>
        <v>4302</v>
      </c>
      <c r="O78" cm="1">
        <f t="array" ref="O78">[89]!HIGH</f>
        <v>4329</v>
      </c>
      <c r="P78" cm="1">
        <f t="array" ref="P78">[89]!LOW</f>
        <v>4191</v>
      </c>
      <c r="Q78" cm="1">
        <f t="array" ref="Q78">[89]!TRADEVOLUME</f>
        <v>228542</v>
      </c>
      <c r="R78" cm="1">
        <f t="array" ref="R78">[89]!POSIVOL</f>
        <v>213912</v>
      </c>
      <c r="S78" cm="1">
        <f t="array" ref="S78">[89]!POSIVOLCHANGE</f>
        <v>0</v>
      </c>
      <c r="T78" cm="1">
        <f t="array" ref="T78">[89]!POSIVOLCHANGEDAILY</f>
        <v>2662</v>
      </c>
      <c r="U78" t="str" cm="1">
        <f t="array" ref="U78">[89]!INST_STATE</f>
        <v>连续交易</v>
      </c>
      <c r="V78" t="str" cm="1">
        <f t="array" ref="V78">[89]!UPDATETIME</f>
        <v>09:51:32.000</v>
      </c>
      <c r="W78" cm="1">
        <f t="array" ref="W78">[89]!UPPERLIMITPRICE</f>
        <v>4874</v>
      </c>
      <c r="X78" cm="1">
        <f t="array" ref="X78">[89]!LOWERLIMITPRICE</f>
        <v>3829</v>
      </c>
      <c r="Y78" t="e" cm="1">
        <f t="array" ref="Y78">[89]!CLOSEPRICE</f>
        <v>#N/A</v>
      </c>
      <c r="Z78" t="e" cm="1">
        <f t="array" ref="Z78">[89]!SETTLEPRICE</f>
        <v>#N/A</v>
      </c>
      <c r="AA78" cm="1">
        <f t="array" ref="AA78">[89]!PRECLOSE</f>
        <v>4333</v>
      </c>
      <c r="AB78" cm="1">
        <f t="array" ref="AB78">[89]!PRESETTLEPRICE</f>
        <v>4352</v>
      </c>
      <c r="AC78" t="s">
        <v>110</v>
      </c>
      <c r="AD78" t="s">
        <v>127</v>
      </c>
      <c r="AE78">
        <v>10</v>
      </c>
      <c r="AF78">
        <v>20260915</v>
      </c>
      <c r="AG78" t="str" cm="1">
        <f t="array" ref="AG78">[89]!MARGIN</f>
        <v>9.00%</v>
      </c>
      <c r="AH78" t="str" cm="1">
        <f t="array" ref="AH78">[89]!FEE</f>
        <v>开仓0.005055%+0.00,平仓0.005055%+0.00,平今0.000005%+0.00</v>
      </c>
      <c r="AI78" t="s">
        <v>210</v>
      </c>
      <c r="AJ78" cm="1">
        <f t="array" ref="AJ78">[89]!IMPLYBIDVOLUME1</f>
        <v>0</v>
      </c>
      <c r="AK78" t="e" cm="1">
        <f t="array" ref="AK78">[89]!IMPLYBIDPRICE1</f>
        <v>#N/A</v>
      </c>
      <c r="AL78" t="e" cm="1">
        <f t="array" ref="AL78">[89]!IMPLYASKPRICE1</f>
        <v>#N/A</v>
      </c>
      <c r="AM78" cm="1">
        <f t="array" ref="AM78">[89]!IMPLYASKVOLUME1</f>
        <v>0</v>
      </c>
      <c r="AN78" cm="1">
        <f t="array" ref="AN78">[89]!VOLUMEBIDLOT</f>
        <v>0</v>
      </c>
      <c r="AO78" cm="1">
        <f t="array" ref="AO78">[89]!VOLUMEASKLOT</f>
        <v>0</v>
      </c>
    </row>
    <row r="79" spans="1:41" x14ac:dyDescent="0.25">
      <c r="A79" t="s">
        <v>133</v>
      </c>
      <c r="B79" t="s">
        <v>300</v>
      </c>
      <c r="C79" cm="1">
        <f t="array" ref="C79">[41]!NETVOLUME3862909776</f>
        <v>0</v>
      </c>
      <c r="D79" cm="1">
        <f t="array" ref="D79">[41]!LONGPOSITION3862909776</f>
        <v>0</v>
      </c>
      <c r="E79" cm="1">
        <f t="array" ref="E79">[41]!SHORTPOSITION3862909776</f>
        <v>0</v>
      </c>
      <c r="F79" cm="1">
        <f t="array" ref="F79">[41]!MTMPL3862909776</f>
        <v>0</v>
      </c>
      <c r="G79" cm="1">
        <f t="array" ref="G79">[41]!LASTPRICE</f>
        <v>105750</v>
      </c>
      <c r="H79" cm="1">
        <f t="array" ref="H79">[41]!NETCHANGE</f>
        <v>1270</v>
      </c>
      <c r="I79" t="str" cm="1">
        <f t="array" ref="I79">[41]!NETCHANGERATE</f>
        <v>+1.22%</v>
      </c>
      <c r="J79" cm="1">
        <f t="array" ref="J79">[41]!BIDVOLUME1</f>
        <v>2</v>
      </c>
      <c r="K79" cm="1">
        <f t="array" ref="K79">[41]!BIDPRICE1</f>
        <v>105740</v>
      </c>
      <c r="L79" cm="1">
        <f t="array" ref="L79">[41]!ASKPRICE1</f>
        <v>105750</v>
      </c>
      <c r="M79" cm="1">
        <f t="array" ref="M79">[41]!ASKVOLUME1</f>
        <v>4</v>
      </c>
      <c r="N79" cm="1">
        <f t="array" ref="N79">[41]!OPENPRICE</f>
        <v>104870</v>
      </c>
      <c r="O79" cm="1">
        <f t="array" ref="O79">[41]!HIGH</f>
        <v>106180</v>
      </c>
      <c r="P79" cm="1">
        <f t="array" ref="P79">[41]!LOW</f>
        <v>104420</v>
      </c>
      <c r="Q79" cm="1">
        <f t="array" ref="Q79">[41]!TRADEVOLUME</f>
        <v>59094</v>
      </c>
      <c r="R79" cm="1">
        <f t="array" ref="R79">[41]!POSIVOL</f>
        <v>178243</v>
      </c>
      <c r="S79" cm="1">
        <f t="array" ref="S79">[41]!POSIVOLCHANGE</f>
        <v>0</v>
      </c>
      <c r="T79" cm="1">
        <f t="array" ref="T79">[41]!POSIVOLCHANGEDAILY</f>
        <v>6616</v>
      </c>
      <c r="U79" t="str" cm="1">
        <f t="array" ref="U79">[41]!INST_STATE</f>
        <v>连续交易</v>
      </c>
      <c r="V79" t="str" cm="1">
        <f t="array" ref="V79">[41]!UPDATETIME</f>
        <v>09:51:32.000</v>
      </c>
      <c r="W79" cm="1">
        <f t="array" ref="W79">[41]!UPPERLIMITPRICE</f>
        <v>114920</v>
      </c>
      <c r="X79" cm="1">
        <f t="array" ref="X79">[41]!LOWERLIMITPRICE</f>
        <v>94030</v>
      </c>
      <c r="Y79" t="e" cm="1">
        <f t="array" ref="Y79">[41]!CLOSEPRICE</f>
        <v>#N/A</v>
      </c>
      <c r="Z79" t="e" cm="1">
        <f t="array" ref="Z79">[41]!SETTLEPRICE</f>
        <v>#N/A</v>
      </c>
      <c r="AA79" cm="1">
        <f t="array" ref="AA79">[41]!PRECLOSE</f>
        <v>104870</v>
      </c>
      <c r="AB79" cm="1">
        <f t="array" ref="AB79">[41]!PRESETTLEPRICE</f>
        <v>104480</v>
      </c>
      <c r="AC79" t="s">
        <v>110</v>
      </c>
      <c r="AD79" t="s">
        <v>134</v>
      </c>
      <c r="AE79">
        <v>5</v>
      </c>
      <c r="AF79">
        <v>20260715</v>
      </c>
      <c r="AG79" t="e" cm="1">
        <f t="array" ref="AG79">[41]!MARGIN</f>
        <v>#N/A</v>
      </c>
      <c r="AH79" t="e" cm="1">
        <f t="array" ref="AH79">[41]!FEE</f>
        <v>#N/A</v>
      </c>
      <c r="AI79" t="s">
        <v>210</v>
      </c>
      <c r="AJ79" cm="1">
        <f t="array" ref="AJ79">[41]!IMPLYBIDVOLUME1</f>
        <v>0</v>
      </c>
      <c r="AK79" t="e" cm="1">
        <f t="array" ref="AK79">[41]!IMPLYBIDPRICE1</f>
        <v>#N/A</v>
      </c>
      <c r="AL79" t="e" cm="1">
        <f t="array" ref="AL79">[41]!IMPLYASKPRICE1</f>
        <v>#N/A</v>
      </c>
      <c r="AM79" cm="1">
        <f t="array" ref="AM79">[41]!IMPLYASKVOLUME1</f>
        <v>0</v>
      </c>
      <c r="AN79" cm="1">
        <f t="array" ref="AN79">[41]!VOLUMEBIDLOT</f>
        <v>0</v>
      </c>
      <c r="AO79" cm="1">
        <f t="array" ref="AO79">[41]!VOLUMEASKLOT</f>
        <v>0</v>
      </c>
    </row>
    <row r="80" spans="1:41" x14ac:dyDescent="0.25">
      <c r="A80" t="s">
        <v>143</v>
      </c>
      <c r="B80" t="s">
        <v>301</v>
      </c>
      <c r="C80" cm="1">
        <f t="array" ref="C80">[46]!NETVOLUME3862909776</f>
        <v>0</v>
      </c>
      <c r="D80" cm="1">
        <f t="array" ref="D80">[46]!LONGPOSITION3862909776</f>
        <v>0</v>
      </c>
      <c r="E80" cm="1">
        <f t="array" ref="E80">[46]!SHORTPOSITION3862909776</f>
        <v>0</v>
      </c>
      <c r="F80" cm="1">
        <f t="array" ref="F80">[46]!MTMPL3862909776</f>
        <v>0</v>
      </c>
      <c r="G80" cm="1">
        <f t="array" ref="G80">[46]!LASTPRICE</f>
        <v>3892</v>
      </c>
      <c r="H80" cm="1">
        <f t="array" ref="H80">[46]!NETCHANGE</f>
        <v>-228</v>
      </c>
      <c r="I80" t="str" cm="1">
        <f t="array" ref="I80">[46]!NETCHANGERATE</f>
        <v>-5.53%</v>
      </c>
      <c r="J80" cm="1">
        <f t="array" ref="J80">[46]!BIDVOLUME1</f>
        <v>25</v>
      </c>
      <c r="K80" cm="1">
        <f t="array" ref="K80">[46]!BIDPRICE1</f>
        <v>3891</v>
      </c>
      <c r="L80" cm="1">
        <f t="array" ref="L80">[46]!ASKPRICE1</f>
        <v>3892</v>
      </c>
      <c r="M80" cm="1">
        <f t="array" ref="M80">[46]!ASKVOLUME1</f>
        <v>1</v>
      </c>
      <c r="N80" cm="1">
        <f t="array" ref="N80">[46]!OPENPRICE</f>
        <v>4060</v>
      </c>
      <c r="O80" cm="1">
        <f t="array" ref="O80">[46]!HIGH</f>
        <v>4085</v>
      </c>
      <c r="P80" cm="1">
        <f t="array" ref="P80">[46]!LOW</f>
        <v>3883</v>
      </c>
      <c r="Q80" cm="1">
        <f t="array" ref="Q80">[46]!TRADEVOLUME</f>
        <v>228677</v>
      </c>
      <c r="R80" cm="1">
        <f t="array" ref="R80">[46]!POSIVOL</f>
        <v>207594</v>
      </c>
      <c r="S80" cm="1">
        <f t="array" ref="S80">[46]!POSIVOLCHANGE</f>
        <v>0</v>
      </c>
      <c r="T80" cm="1">
        <f t="array" ref="T80">[46]!POSIVOLCHANGEDAILY</f>
        <v>-17213</v>
      </c>
      <c r="U80" t="str" cm="1">
        <f t="array" ref="U80">[46]!INST_STATE</f>
        <v>连续交易</v>
      </c>
      <c r="V80" t="str" cm="1">
        <f t="array" ref="V80">[46]!UPDATETIME</f>
        <v>09:51:32.500</v>
      </c>
      <c r="W80" cm="1">
        <f t="array" ref="W80">[46]!UPPERLIMITPRICE</f>
        <v>4944</v>
      </c>
      <c r="X80" cm="1">
        <f t="array" ref="X80">[46]!LOWERLIMITPRICE</f>
        <v>3296</v>
      </c>
      <c r="Y80" t="e" cm="1">
        <f t="array" ref="Y80">[46]!CLOSEPRICE</f>
        <v>#N/A</v>
      </c>
      <c r="Z80" t="e" cm="1">
        <f t="array" ref="Z80">[46]!SETTLEPRICE</f>
        <v>#N/A</v>
      </c>
      <c r="AA80" cm="1">
        <f t="array" ref="AA80">[46]!PRECLOSE</f>
        <v>4103</v>
      </c>
      <c r="AB80" cm="1">
        <f t="array" ref="AB80">[46]!PRESETTLEPRICE</f>
        <v>4120</v>
      </c>
      <c r="AC80" t="s">
        <v>110</v>
      </c>
      <c r="AD80" t="s">
        <v>144</v>
      </c>
      <c r="AE80">
        <v>10</v>
      </c>
      <c r="AF80">
        <v>20260831</v>
      </c>
      <c r="AG80" t="e" cm="1">
        <f t="array" ref="AG80">[46]!MARGIN</f>
        <v>#N/A</v>
      </c>
      <c r="AH80" t="e" cm="1">
        <f t="array" ref="AH80">[46]!FEE</f>
        <v>#N/A</v>
      </c>
      <c r="AI80" t="s">
        <v>210</v>
      </c>
      <c r="AJ80" cm="1">
        <f t="array" ref="AJ80">[46]!IMPLYBIDVOLUME1</f>
        <v>0</v>
      </c>
      <c r="AK80" t="e" cm="1">
        <f t="array" ref="AK80">[46]!IMPLYBIDPRICE1</f>
        <v>#N/A</v>
      </c>
      <c r="AL80" t="e" cm="1">
        <f t="array" ref="AL80">[46]!IMPLYASKPRICE1</f>
        <v>#N/A</v>
      </c>
      <c r="AM80" cm="1">
        <f t="array" ref="AM80">[46]!IMPLYASKVOLUME1</f>
        <v>0</v>
      </c>
      <c r="AN80" cm="1">
        <f t="array" ref="AN80">[46]!VOLUMEBIDLOT</f>
        <v>0</v>
      </c>
      <c r="AO80" cm="1">
        <f t="array" ref="AO80">[46]!VOLUMEASKLOT</f>
        <v>0</v>
      </c>
    </row>
    <row r="81" spans="1:41" x14ac:dyDescent="0.25">
      <c r="A81" t="s">
        <v>145</v>
      </c>
      <c r="B81" t="s">
        <v>302</v>
      </c>
      <c r="C81" cm="1">
        <f t="array" ref="C81">[47]!NETVOLUME3862909776</f>
        <v>0</v>
      </c>
      <c r="D81" cm="1">
        <f t="array" ref="D81">[47]!LONGPOSITION3862909776</f>
        <v>0</v>
      </c>
      <c r="E81" cm="1">
        <f t="array" ref="E81">[47]!SHORTPOSITION3862909776</f>
        <v>0</v>
      </c>
      <c r="F81" cm="1">
        <f t="array" ref="F81">[47]!MTMPL3862909776</f>
        <v>0</v>
      </c>
      <c r="G81" cm="1">
        <f t="array" ref="G81">[47]!LASTPRICE</f>
        <v>3436</v>
      </c>
      <c r="H81" cm="1">
        <f t="array" ref="H81">[47]!NETCHANGE</f>
        <v>51</v>
      </c>
      <c r="I81" t="str" cm="1">
        <f t="array" ref="I81">[47]!NETCHANGERATE</f>
        <v>+1.51%</v>
      </c>
      <c r="J81" cm="1">
        <f t="array" ref="J81">[47]!BIDVOLUME1</f>
        <v>39</v>
      </c>
      <c r="K81" cm="1">
        <f t="array" ref="K81">[47]!BIDPRICE1</f>
        <v>3435</v>
      </c>
      <c r="L81" cm="1">
        <f t="array" ref="L81">[47]!ASKPRICE1</f>
        <v>3436</v>
      </c>
      <c r="M81" cm="1">
        <f t="array" ref="M81">[47]!ASKVOLUME1</f>
        <v>357</v>
      </c>
      <c r="N81" cm="1">
        <f t="array" ref="N81">[47]!OPENPRICE</f>
        <v>3385</v>
      </c>
      <c r="O81" cm="1">
        <f t="array" ref="O81">[47]!HIGH</f>
        <v>3450</v>
      </c>
      <c r="P81" cm="1">
        <f t="array" ref="P81">[47]!LOW</f>
        <v>3378</v>
      </c>
      <c r="Q81" cm="1">
        <f t="array" ref="Q81">[47]!TRADEVOLUME</f>
        <v>490956</v>
      </c>
      <c r="R81" cm="1">
        <f t="array" ref="R81">[47]!POSIVOL</f>
        <v>1751446</v>
      </c>
      <c r="S81" cm="1">
        <f t="array" ref="S81">[47]!POSIVOLCHANGE</f>
        <v>0</v>
      </c>
      <c r="T81" cm="1">
        <f t="array" ref="T81">[47]!POSIVOLCHANGEDAILY</f>
        <v>-24892</v>
      </c>
      <c r="U81" t="str" cm="1">
        <f t="array" ref="U81">[47]!INST_STATE</f>
        <v>连续交易</v>
      </c>
      <c r="V81" t="str" cm="1">
        <f t="array" ref="V81">[47]!UPDATETIME</f>
        <v>09:51:32.500</v>
      </c>
      <c r="W81" cm="1">
        <f t="array" ref="W81">[47]!UPPERLIMITPRICE</f>
        <v>3554</v>
      </c>
      <c r="X81" cm="1">
        <f t="array" ref="X81">[47]!LOWERLIMITPRICE</f>
        <v>3215</v>
      </c>
      <c r="Y81" t="e" cm="1">
        <f t="array" ref="Y81">[47]!CLOSEPRICE</f>
        <v>#N/A</v>
      </c>
      <c r="Z81" t="e" cm="1">
        <f t="array" ref="Z81">[47]!SETTLEPRICE</f>
        <v>#N/A</v>
      </c>
      <c r="AA81" cm="1">
        <f t="array" ref="AA81">[47]!PRECLOSE</f>
        <v>3385</v>
      </c>
      <c r="AB81" cm="1">
        <f t="array" ref="AB81">[47]!PRESETTLEPRICE</f>
        <v>3385</v>
      </c>
      <c r="AC81" t="s">
        <v>110</v>
      </c>
      <c r="AD81" t="s">
        <v>146</v>
      </c>
      <c r="AE81">
        <v>10</v>
      </c>
      <c r="AF81">
        <v>20261015</v>
      </c>
      <c r="AG81" t="e" cm="1">
        <f t="array" ref="AG81">[47]!MARGIN</f>
        <v>#N/A</v>
      </c>
      <c r="AH81" t="e" cm="1">
        <f t="array" ref="AH81">[47]!FEE</f>
        <v>#N/A</v>
      </c>
      <c r="AI81" t="s">
        <v>210</v>
      </c>
      <c r="AJ81" cm="1">
        <f t="array" ref="AJ81">[47]!IMPLYBIDVOLUME1</f>
        <v>0</v>
      </c>
      <c r="AK81" t="e" cm="1">
        <f t="array" ref="AK81">[47]!IMPLYBIDPRICE1</f>
        <v>#N/A</v>
      </c>
      <c r="AL81" t="e" cm="1">
        <f t="array" ref="AL81">[47]!IMPLYASKPRICE1</f>
        <v>#N/A</v>
      </c>
      <c r="AM81" cm="1">
        <f t="array" ref="AM81">[47]!IMPLYASKVOLUME1</f>
        <v>0</v>
      </c>
      <c r="AN81" cm="1">
        <f t="array" ref="AN81">[47]!VOLUMEBIDLOT</f>
        <v>0</v>
      </c>
      <c r="AO81" cm="1">
        <f t="array" ref="AO81">[47]!VOLUMEASKLOT</f>
        <v>0</v>
      </c>
    </row>
    <row r="82" spans="1:41" x14ac:dyDescent="0.25">
      <c r="A82" t="s">
        <v>168</v>
      </c>
      <c r="B82" t="s">
        <v>303</v>
      </c>
      <c r="C82" cm="1">
        <f t="array" ref="C82">[58]!NETVOLUME3862909776</f>
        <v>0</v>
      </c>
      <c r="D82" cm="1">
        <f t="array" ref="D82">[58]!LONGPOSITION3862909776</f>
        <v>0</v>
      </c>
      <c r="E82" cm="1">
        <f t="array" ref="E82">[58]!SHORTPOSITION3862909776</f>
        <v>0</v>
      </c>
      <c r="F82" cm="1">
        <f t="array" ref="F82">[58]!MTMPL3862909776</f>
        <v>0</v>
      </c>
      <c r="G82" cm="1">
        <f t="array" ref="G82">[58]!LASTPRICE</f>
        <v>143780</v>
      </c>
      <c r="H82" cm="1">
        <f t="array" ref="H82">[58]!NETCHANGE</f>
        <v>300</v>
      </c>
      <c r="I82" t="str" cm="1">
        <f t="array" ref="I82">[58]!NETCHANGERATE</f>
        <v>+0.21%</v>
      </c>
      <c r="J82" cm="1">
        <f t="array" ref="J82">[58]!BIDVOLUME1</f>
        <v>1</v>
      </c>
      <c r="K82" cm="1">
        <f t="array" ref="K82">[58]!BIDPRICE1</f>
        <v>143780</v>
      </c>
      <c r="L82" cm="1">
        <f t="array" ref="L82">[58]!ASKPRICE1</f>
        <v>143800</v>
      </c>
      <c r="M82" cm="1">
        <f t="array" ref="M82">[58]!ASKVOLUME1</f>
        <v>6</v>
      </c>
      <c r="N82" cm="1">
        <f t="array" ref="N82">[58]!OPENPRICE</f>
        <v>143360</v>
      </c>
      <c r="O82" cm="1">
        <f t="array" ref="O82">[58]!HIGH</f>
        <v>144670</v>
      </c>
      <c r="P82" cm="1">
        <f t="array" ref="P82">[58]!LOW</f>
        <v>142500</v>
      </c>
      <c r="Q82" cm="1">
        <f t="array" ref="Q82">[58]!TRADEVOLUME</f>
        <v>162402</v>
      </c>
      <c r="R82" cm="1">
        <f t="array" ref="R82">[58]!POSIVOL</f>
        <v>85466</v>
      </c>
      <c r="S82" cm="1">
        <f t="array" ref="S82">[58]!POSIVOLCHANGE</f>
        <v>0</v>
      </c>
      <c r="T82" cm="1">
        <f t="array" ref="T82">[58]!POSIVOLCHANGEDAILY</f>
        <v>-8697</v>
      </c>
      <c r="U82" t="str" cm="1">
        <f t="array" ref="U82">[58]!INST_STATE</f>
        <v>连续交易</v>
      </c>
      <c r="V82" t="str" cm="1">
        <f t="array" ref="V82">[58]!UPDATETIME</f>
        <v>09:51:31.500</v>
      </c>
      <c r="W82" cm="1">
        <f t="array" ref="W82">[58]!UPPERLIMITPRICE</f>
        <v>160690</v>
      </c>
      <c r="X82" cm="1">
        <f t="array" ref="X82">[58]!LOWERLIMITPRICE</f>
        <v>126260</v>
      </c>
      <c r="Y82" t="e" cm="1">
        <f t="array" ref="Y82">[58]!CLOSEPRICE</f>
        <v>#N/A</v>
      </c>
      <c r="Z82" t="e" cm="1">
        <f t="array" ref="Z82">[58]!SETTLEPRICE</f>
        <v>#N/A</v>
      </c>
      <c r="AA82" cm="1">
        <f t="array" ref="AA82">[58]!PRECLOSE</f>
        <v>143330</v>
      </c>
      <c r="AB82" cm="1">
        <f t="array" ref="AB82">[58]!PRESETTLEPRICE</f>
        <v>143480</v>
      </c>
      <c r="AC82" t="s">
        <v>110</v>
      </c>
      <c r="AD82" t="s">
        <v>169</v>
      </c>
      <c r="AE82">
        <v>1</v>
      </c>
      <c r="AF82">
        <v>20260615</v>
      </c>
      <c r="AG82" t="e" cm="1">
        <f t="array" ref="AG82">[58]!MARGIN</f>
        <v>#N/A</v>
      </c>
      <c r="AH82" t="e" cm="1">
        <f t="array" ref="AH82">[58]!FEE</f>
        <v>#N/A</v>
      </c>
      <c r="AI82" t="s">
        <v>210</v>
      </c>
      <c r="AJ82" cm="1">
        <f t="array" ref="AJ82">[58]!IMPLYBIDVOLUME1</f>
        <v>0</v>
      </c>
      <c r="AK82" t="e" cm="1">
        <f t="array" ref="AK82">[58]!IMPLYBIDPRICE1</f>
        <v>#N/A</v>
      </c>
      <c r="AL82" t="e" cm="1">
        <f t="array" ref="AL82">[58]!IMPLYASKPRICE1</f>
        <v>#N/A</v>
      </c>
      <c r="AM82" cm="1">
        <f t="array" ref="AM82">[58]!IMPLYASKVOLUME1</f>
        <v>0</v>
      </c>
      <c r="AN82" cm="1">
        <f t="array" ref="AN82">[58]!VOLUMEBIDLOT</f>
        <v>0</v>
      </c>
      <c r="AO82" cm="1">
        <f t="array" ref="AO82">[58]!VOLUMEASKLOT</f>
        <v>0</v>
      </c>
    </row>
    <row r="83" spans="1:41" x14ac:dyDescent="0.25">
      <c r="A83" t="s">
        <v>172</v>
      </c>
      <c r="B83" t="s">
        <v>304</v>
      </c>
      <c r="C83" cm="1">
        <f t="array" ref="C83">[60]!NETVOLUME3862909776</f>
        <v>0</v>
      </c>
      <c r="D83" cm="1">
        <f t="array" ref="D83">[60]!LONGPOSITION3862909776</f>
        <v>0</v>
      </c>
      <c r="E83" cm="1">
        <f t="array" ref="E83">[60]!SHORTPOSITION3862909776</f>
        <v>0</v>
      </c>
      <c r="F83" cm="1">
        <f t="array" ref="F83">[60]!MTMPL3862909776</f>
        <v>0</v>
      </c>
      <c r="G83" cm="1">
        <f t="array" ref="G83">[60]!LASTPRICE</f>
        <v>4084</v>
      </c>
      <c r="H83" cm="1">
        <f t="array" ref="H83">[60]!NETCHANGE</f>
        <v>70</v>
      </c>
      <c r="I83" t="str" cm="1">
        <f t="array" ref="I83">[60]!NETCHANGERATE</f>
        <v>+1.74%</v>
      </c>
      <c r="J83" cm="1">
        <f t="array" ref="J83">[60]!BIDVOLUME1</f>
        <v>3</v>
      </c>
      <c r="K83" cm="1">
        <f t="array" ref="K83">[60]!BIDPRICE1</f>
        <v>4084</v>
      </c>
      <c r="L83" cm="1">
        <f t="array" ref="L83">[60]!ASKPRICE1</f>
        <v>4086</v>
      </c>
      <c r="M83" cm="1">
        <f t="array" ref="M83">[60]!ASKVOLUME1</f>
        <v>25</v>
      </c>
      <c r="N83" cm="1">
        <f t="array" ref="N83">[60]!OPENPRICE</f>
        <v>4062</v>
      </c>
      <c r="O83" cm="1">
        <f t="array" ref="O83">[60]!HIGH</f>
        <v>4100</v>
      </c>
      <c r="P83" cm="1">
        <f t="array" ref="P83">[60]!LOW</f>
        <v>4060</v>
      </c>
      <c r="Q83" cm="1">
        <f t="array" ref="Q83">[60]!TRADEVOLUME</f>
        <v>3089</v>
      </c>
      <c r="R83" cm="1">
        <f t="array" ref="R83">[60]!POSIVOL</f>
        <v>12562</v>
      </c>
      <c r="S83" cm="1">
        <f t="array" ref="S83">[60]!POSIVOLCHANGE</f>
        <v>0</v>
      </c>
      <c r="T83" cm="1">
        <f t="array" ref="T83">[60]!POSIVOLCHANGEDAILY</f>
        <v>-322</v>
      </c>
      <c r="U83" t="str" cm="1">
        <f t="array" ref="U83">[60]!INST_STATE</f>
        <v>连续交易</v>
      </c>
      <c r="V83" t="str" cm="1">
        <f t="array" ref="V83">[60]!UPDATETIME</f>
        <v>09:51:32.000</v>
      </c>
      <c r="W83" cm="1">
        <f t="array" ref="W83">[60]!UPPERLIMITPRICE</f>
        <v>4294</v>
      </c>
      <c r="X83" cm="1">
        <f t="array" ref="X83">[60]!LOWERLIMITPRICE</f>
        <v>3732</v>
      </c>
      <c r="Y83" t="e" cm="1">
        <f t="array" ref="Y83">[60]!CLOSEPRICE</f>
        <v>#N/A</v>
      </c>
      <c r="Z83" t="e" cm="1">
        <f t="array" ref="Z83">[60]!SETTLEPRICE</f>
        <v>#N/A</v>
      </c>
      <c r="AA83" cm="1">
        <f t="array" ref="AA83">[60]!PRECLOSE</f>
        <v>4066</v>
      </c>
      <c r="AB83" cm="1">
        <f t="array" ref="AB83">[60]!PRESETTLEPRICE</f>
        <v>4014</v>
      </c>
      <c r="AC83" t="s">
        <v>110</v>
      </c>
      <c r="AD83" t="s">
        <v>173</v>
      </c>
      <c r="AE83">
        <v>40</v>
      </c>
      <c r="AF83">
        <v>20260715</v>
      </c>
      <c r="AG83" t="e" cm="1">
        <f t="array" ref="AG83">[60]!MARGIN</f>
        <v>#N/A</v>
      </c>
      <c r="AH83" t="e" cm="1">
        <f t="array" ref="AH83">[60]!FEE</f>
        <v>#N/A</v>
      </c>
      <c r="AI83" t="s">
        <v>210</v>
      </c>
      <c r="AJ83" cm="1">
        <f t="array" ref="AJ83">[60]!IMPLYBIDVOLUME1</f>
        <v>0</v>
      </c>
      <c r="AK83" t="e" cm="1">
        <f t="array" ref="AK83">[60]!IMPLYBIDPRICE1</f>
        <v>#N/A</v>
      </c>
      <c r="AL83" t="e" cm="1">
        <f t="array" ref="AL83">[60]!IMPLYASKPRICE1</f>
        <v>#N/A</v>
      </c>
      <c r="AM83" cm="1">
        <f t="array" ref="AM83">[60]!IMPLYASKVOLUME1</f>
        <v>0</v>
      </c>
      <c r="AN83" cm="1">
        <f t="array" ref="AN83">[60]!VOLUMEBIDLOT</f>
        <v>0</v>
      </c>
      <c r="AO83" cm="1">
        <f t="array" ref="AO83">[60]!VOLUMEASKLOT</f>
        <v>0</v>
      </c>
    </row>
    <row r="84" spans="1:41" x14ac:dyDescent="0.25">
      <c r="A84" t="s">
        <v>176</v>
      </c>
      <c r="B84" t="s">
        <v>305</v>
      </c>
      <c r="C84" cm="1">
        <f t="array" ref="C84">[62]!NETVOLUME3862909776</f>
        <v>0</v>
      </c>
      <c r="D84" cm="1">
        <f t="array" ref="D84">[62]!LONGPOSITION3862909776</f>
        <v>0</v>
      </c>
      <c r="E84" cm="1">
        <f t="array" ref="E84">[62]!SHORTPOSITION3862909776</f>
        <v>0</v>
      </c>
      <c r="F84" cm="1">
        <f t="array" ref="F84">[62]!MTMPL3862909776</f>
        <v>0</v>
      </c>
      <c r="G84" cm="1">
        <f t="array" ref="G84">[62]!LASTPRICE</f>
        <v>16780</v>
      </c>
      <c r="H84" cm="1">
        <f t="array" ref="H84">[62]!NETCHANGE</f>
        <v>55</v>
      </c>
      <c r="I84" t="str" cm="1">
        <f t="array" ref="I84">[62]!NETCHANGERATE</f>
        <v>+0.33%</v>
      </c>
      <c r="J84" cm="1">
        <f t="array" ref="J84">[62]!BIDVOLUME1</f>
        <v>95</v>
      </c>
      <c r="K84" cm="1">
        <f t="array" ref="K84">[62]!BIDPRICE1</f>
        <v>16775</v>
      </c>
      <c r="L84" cm="1">
        <f t="array" ref="L84">[62]!ASKPRICE1</f>
        <v>16780</v>
      </c>
      <c r="M84" cm="1">
        <f t="array" ref="M84">[62]!ASKVOLUME1</f>
        <v>32</v>
      </c>
      <c r="N84" cm="1">
        <f t="array" ref="N84">[62]!OPENPRICE</f>
        <v>16735</v>
      </c>
      <c r="O84" cm="1">
        <f t="array" ref="O84">[62]!HIGH</f>
        <v>16800</v>
      </c>
      <c r="P84" cm="1">
        <f t="array" ref="P84">[62]!LOW</f>
        <v>16725</v>
      </c>
      <c r="Q84" cm="1">
        <f t="array" ref="Q84">[62]!TRADEVOLUME</f>
        <v>35524</v>
      </c>
      <c r="R84" cm="1">
        <f t="array" ref="R84">[62]!POSIVOL</f>
        <v>65957</v>
      </c>
      <c r="S84" cm="1">
        <f t="array" ref="S84">[62]!POSIVOLCHANGE</f>
        <v>0</v>
      </c>
      <c r="T84" cm="1">
        <f t="array" ref="T84">[62]!POSIVOLCHANGEDAILY</f>
        <v>-3314</v>
      </c>
      <c r="U84" t="str" cm="1">
        <f t="array" ref="U84">[62]!INST_STATE</f>
        <v>连续交易</v>
      </c>
      <c r="V84" t="str" cm="1">
        <f t="array" ref="V84">[62]!UPDATETIME</f>
        <v>09:51:32.500</v>
      </c>
      <c r="W84" cm="1">
        <f t="array" ref="W84">[62]!UPPERLIMITPRICE</f>
        <v>18395</v>
      </c>
      <c r="X84" cm="1">
        <f t="array" ref="X84">[62]!LOWERLIMITPRICE</f>
        <v>15050</v>
      </c>
      <c r="Y84" t="e" cm="1">
        <f t="array" ref="Y84">[62]!CLOSEPRICE</f>
        <v>#N/A</v>
      </c>
      <c r="Z84" t="e" cm="1">
        <f t="array" ref="Z84">[62]!SETTLEPRICE</f>
        <v>#N/A</v>
      </c>
      <c r="AA84" cm="1">
        <f t="array" ref="AA84">[62]!PRECLOSE</f>
        <v>16735</v>
      </c>
      <c r="AB84" cm="1">
        <f t="array" ref="AB84">[62]!PRESETTLEPRICE</f>
        <v>16725</v>
      </c>
      <c r="AC84" t="s">
        <v>110</v>
      </c>
      <c r="AD84" t="s">
        <v>177</v>
      </c>
      <c r="AE84">
        <v>5</v>
      </c>
      <c r="AF84">
        <v>20260715</v>
      </c>
      <c r="AG84" t="e" cm="1">
        <f t="array" ref="AG84">[62]!MARGIN</f>
        <v>#N/A</v>
      </c>
      <c r="AH84" t="e" cm="1">
        <f t="array" ref="AH84">[62]!FEE</f>
        <v>#N/A</v>
      </c>
      <c r="AI84" t="s">
        <v>210</v>
      </c>
      <c r="AJ84" cm="1">
        <f t="array" ref="AJ84">[62]!IMPLYBIDVOLUME1</f>
        <v>0</v>
      </c>
      <c r="AK84" t="e" cm="1">
        <f t="array" ref="AK84">[62]!IMPLYBIDPRICE1</f>
        <v>#N/A</v>
      </c>
      <c r="AL84" t="e" cm="1">
        <f t="array" ref="AL84">[62]!IMPLYASKPRICE1</f>
        <v>#N/A</v>
      </c>
      <c r="AM84" cm="1">
        <f t="array" ref="AM84">[62]!IMPLYASKVOLUME1</f>
        <v>0</v>
      </c>
      <c r="AN84" cm="1">
        <f t="array" ref="AN84">[62]!VOLUMEBIDLOT</f>
        <v>0</v>
      </c>
      <c r="AO84" cm="1">
        <f t="array" ref="AO84">[62]!VOLUMEASKLOT</f>
        <v>0</v>
      </c>
    </row>
    <row r="85" spans="1:41" x14ac:dyDescent="0.25">
      <c r="A85" t="s">
        <v>186</v>
      </c>
      <c r="B85" t="s">
        <v>306</v>
      </c>
      <c r="C85" cm="1">
        <f t="array" ref="C85">[66]!NETVOLUME3862909776</f>
        <v>0</v>
      </c>
      <c r="D85" cm="1">
        <f t="array" ref="D85">[66]!LONGPOSITION3862909776</f>
        <v>0</v>
      </c>
      <c r="E85" cm="1">
        <f t="array" ref="E85">[66]!SHORTPOSITION3862909776</f>
        <v>0</v>
      </c>
      <c r="F85" cm="1">
        <f t="array" ref="F85">[66]!MTMPL3862909776</f>
        <v>0</v>
      </c>
      <c r="G85" cm="1">
        <f t="array" ref="G85">[66]!LASTPRICE</f>
        <v>3217</v>
      </c>
      <c r="H85" cm="1">
        <f t="array" ref="H85">[66]!NETCHANGE</f>
        <v>46</v>
      </c>
      <c r="I85" t="str" cm="1">
        <f t="array" ref="I85">[66]!NETCHANGERATE</f>
        <v>+1.45%</v>
      </c>
      <c r="J85" cm="1">
        <f t="array" ref="J85">[66]!BIDVOLUME1</f>
        <v>1422</v>
      </c>
      <c r="K85" cm="1">
        <f t="array" ref="K85">[66]!BIDPRICE1</f>
        <v>3216</v>
      </c>
      <c r="L85" cm="1">
        <f t="array" ref="L85">[66]!ASKPRICE1</f>
        <v>3217</v>
      </c>
      <c r="M85" cm="1">
        <f t="array" ref="M85">[66]!ASKVOLUME1</f>
        <v>249</v>
      </c>
      <c r="N85" cm="1">
        <f t="array" ref="N85">[66]!OPENPRICE</f>
        <v>3168</v>
      </c>
      <c r="O85" cm="1">
        <f t="array" ref="O85">[66]!HIGH</f>
        <v>3238</v>
      </c>
      <c r="P85" cm="1">
        <f t="array" ref="P85">[66]!LOW</f>
        <v>3165</v>
      </c>
      <c r="Q85" cm="1">
        <f t="array" ref="Q85">[66]!TRADEVOLUME</f>
        <v>724875</v>
      </c>
      <c r="R85" cm="1">
        <f t="array" ref="R85">[66]!POSIVOL</f>
        <v>1780725</v>
      </c>
      <c r="S85" cm="1">
        <f t="array" ref="S85">[66]!POSIVOLCHANGE</f>
        <v>0</v>
      </c>
      <c r="T85" cm="1">
        <f t="array" ref="T85">[66]!POSIVOLCHANGEDAILY</f>
        <v>-23355</v>
      </c>
      <c r="U85" t="str" cm="1">
        <f t="array" ref="U85">[66]!INST_STATE</f>
        <v>连续交易</v>
      </c>
      <c r="V85" t="str" cm="1">
        <f t="array" ref="V85">[66]!UPDATETIME</f>
        <v>09:51:32.000</v>
      </c>
      <c r="W85" cm="1">
        <f t="array" ref="W85">[66]!UPPERLIMITPRICE</f>
        <v>3329</v>
      </c>
      <c r="X85" cm="1">
        <f t="array" ref="X85">[66]!LOWERLIMITPRICE</f>
        <v>3012</v>
      </c>
      <c r="Y85" t="e" cm="1">
        <f t="array" ref="Y85">[66]!CLOSEPRICE</f>
        <v>#N/A</v>
      </c>
      <c r="Z85" t="e" cm="1">
        <f t="array" ref="Z85">[66]!SETTLEPRICE</f>
        <v>#N/A</v>
      </c>
      <c r="AA85" cm="1">
        <f t="array" ref="AA85">[66]!PRECLOSE</f>
        <v>3168</v>
      </c>
      <c r="AB85" cm="1">
        <f t="array" ref="AB85">[66]!PRESETTLEPRICE</f>
        <v>3171</v>
      </c>
      <c r="AC85" t="s">
        <v>110</v>
      </c>
      <c r="AD85" t="s">
        <v>187</v>
      </c>
      <c r="AE85">
        <v>10</v>
      </c>
      <c r="AF85">
        <v>20261015</v>
      </c>
      <c r="AG85" t="e" cm="1">
        <f t="array" ref="AG85">[66]!MARGIN</f>
        <v>#N/A</v>
      </c>
      <c r="AH85" t="e" cm="1">
        <f t="array" ref="AH85">[66]!FEE</f>
        <v>#N/A</v>
      </c>
      <c r="AI85" t="s">
        <v>210</v>
      </c>
      <c r="AJ85" cm="1">
        <f t="array" ref="AJ85">[66]!IMPLYBIDVOLUME1</f>
        <v>0</v>
      </c>
      <c r="AK85" t="e" cm="1">
        <f t="array" ref="AK85">[66]!IMPLYBIDPRICE1</f>
        <v>#N/A</v>
      </c>
      <c r="AL85" t="e" cm="1">
        <f t="array" ref="AL85">[66]!IMPLYASKPRICE1</f>
        <v>#N/A</v>
      </c>
      <c r="AM85" cm="1">
        <f t="array" ref="AM85">[66]!IMPLYASKVOLUME1</f>
        <v>0</v>
      </c>
      <c r="AN85" cm="1">
        <f t="array" ref="AN85">[66]!VOLUMEBIDLOT</f>
        <v>0</v>
      </c>
      <c r="AO85" cm="1">
        <f t="array" ref="AO85">[66]!VOLUMEASKLOT</f>
        <v>0</v>
      </c>
    </row>
    <row r="86" spans="1:41" x14ac:dyDescent="0.25">
      <c r="A86" t="s">
        <v>190</v>
      </c>
      <c r="B86" t="s">
        <v>307</v>
      </c>
      <c r="C86" cm="1">
        <f t="array" ref="C86">[68]!NETVOLUME3862909776</f>
        <v>0</v>
      </c>
      <c r="D86" cm="1">
        <f t="array" ref="D86">[68]!LONGPOSITION3862909776</f>
        <v>0</v>
      </c>
      <c r="E86" cm="1">
        <f t="array" ref="E86">[68]!SHORTPOSITION3862909776</f>
        <v>0</v>
      </c>
      <c r="F86" cm="1">
        <f t="array" ref="F86">[68]!MTMPL3862909776</f>
        <v>0</v>
      </c>
      <c r="G86" cm="1">
        <f t="array" ref="G86">[68]!LASTPRICE</f>
        <v>17410</v>
      </c>
      <c r="H86" cm="1">
        <f t="array" ref="H86">[68]!NETCHANGE</f>
        <v>60</v>
      </c>
      <c r="I86" t="str" cm="1">
        <f t="array" ref="I86">[68]!NETCHANGERATE</f>
        <v>+0.35%</v>
      </c>
      <c r="J86" cm="1">
        <f t="array" ref="J86">[68]!BIDVOLUME1</f>
        <v>40</v>
      </c>
      <c r="K86" cm="1">
        <f t="array" ref="K86">[68]!BIDPRICE1</f>
        <v>17410</v>
      </c>
      <c r="L86" cm="1">
        <f t="array" ref="L86">[68]!ASKPRICE1</f>
        <v>17415</v>
      </c>
      <c r="M86" cm="1">
        <f t="array" ref="M86">[68]!ASKVOLUME1</f>
        <v>51</v>
      </c>
      <c r="N86" cm="1">
        <f t="array" ref="N86">[68]!OPENPRICE</f>
        <v>17410</v>
      </c>
      <c r="O86" cm="1">
        <f t="array" ref="O86">[68]!HIGH</f>
        <v>17495</v>
      </c>
      <c r="P86" cm="1">
        <f t="array" ref="P86">[68]!LOW</f>
        <v>17300</v>
      </c>
      <c r="Q86" cm="1">
        <f t="array" ref="Q86">[68]!TRADEVOLUME</f>
        <v>151212</v>
      </c>
      <c r="R86" cm="1">
        <f t="array" ref="R86">[68]!POSIVOL</f>
        <v>180248</v>
      </c>
      <c r="S86" cm="1">
        <f t="array" ref="S86">[68]!POSIVOLCHANGE</f>
        <v>0</v>
      </c>
      <c r="T86" cm="1">
        <f t="array" ref="T86">[68]!POSIVOLCHANGEDAILY</f>
        <v>1685</v>
      </c>
      <c r="U86" t="str" cm="1">
        <f t="array" ref="U86">[68]!INST_STATE</f>
        <v>连续交易</v>
      </c>
      <c r="V86" t="str" cm="1">
        <f t="array" ref="V86">[68]!UPDATETIME</f>
        <v>09:51:32.500</v>
      </c>
      <c r="W86" cm="1">
        <f t="array" ref="W86">[68]!UPPERLIMITPRICE</f>
        <v>18910</v>
      </c>
      <c r="X86" cm="1">
        <f t="array" ref="X86">[68]!LOWERLIMITPRICE</f>
        <v>15785</v>
      </c>
      <c r="Y86" t="e" cm="1">
        <f t="array" ref="Y86">[68]!CLOSEPRICE</f>
        <v>#N/A</v>
      </c>
      <c r="Z86" t="e" cm="1">
        <f t="array" ref="Z86">[68]!SETTLEPRICE</f>
        <v>#N/A</v>
      </c>
      <c r="AA86" cm="1">
        <f t="array" ref="AA86">[68]!PRECLOSE</f>
        <v>17420</v>
      </c>
      <c r="AB86" cm="1">
        <f t="array" ref="AB86">[68]!PRESETTLEPRICE</f>
        <v>17350</v>
      </c>
      <c r="AC86" t="s">
        <v>110</v>
      </c>
      <c r="AD86" t="s">
        <v>191</v>
      </c>
      <c r="AE86">
        <v>10</v>
      </c>
      <c r="AF86">
        <v>20260915</v>
      </c>
      <c r="AG86" t="e" cm="1">
        <f t="array" ref="AG86">[68]!MARGIN</f>
        <v>#N/A</v>
      </c>
      <c r="AH86" t="e" cm="1">
        <f t="array" ref="AH86">[68]!FEE</f>
        <v>#N/A</v>
      </c>
      <c r="AI86" t="s">
        <v>210</v>
      </c>
      <c r="AJ86" cm="1">
        <f t="array" ref="AJ86">[68]!IMPLYBIDVOLUME1</f>
        <v>0</v>
      </c>
      <c r="AK86" t="e" cm="1">
        <f t="array" ref="AK86">[68]!IMPLYBIDPRICE1</f>
        <v>#N/A</v>
      </c>
      <c r="AL86" t="e" cm="1">
        <f t="array" ref="AL86">[68]!IMPLYASKPRICE1</f>
        <v>#N/A</v>
      </c>
      <c r="AM86" cm="1">
        <f t="array" ref="AM86">[68]!IMPLYASKVOLUME1</f>
        <v>0</v>
      </c>
      <c r="AN86" cm="1">
        <f t="array" ref="AN86">[68]!VOLUMEBIDLOT</f>
        <v>0</v>
      </c>
      <c r="AO86" cm="1">
        <f t="array" ref="AO86">[68]!VOLUMEASKLOT</f>
        <v>0</v>
      </c>
    </row>
    <row r="87" spans="1:41" x14ac:dyDescent="0.25">
      <c r="A87" t="s">
        <v>196</v>
      </c>
      <c r="B87" t="s">
        <v>308</v>
      </c>
      <c r="C87" cm="1">
        <f t="array" ref="C87">[71]!NETVOLUME3862909776</f>
        <v>0</v>
      </c>
      <c r="D87" cm="1">
        <f t="array" ref="D87">[71]!LONGPOSITION3862909776</f>
        <v>0</v>
      </c>
      <c r="E87" cm="1">
        <f t="array" ref="E87">[71]!SHORTPOSITION3862909776</f>
        <v>0</v>
      </c>
      <c r="F87" cm="1">
        <f t="array" ref="F87">[71]!MTMPL3862909776</f>
        <v>0</v>
      </c>
      <c r="G87" cm="1">
        <f t="array" ref="G87">[71]!LASTPRICE</f>
        <v>426320</v>
      </c>
      <c r="H87" cm="1">
        <f t="array" ref="H87">[71]!NETCHANGE</f>
        <v>8870</v>
      </c>
      <c r="I87" t="str" cm="1">
        <f t="array" ref="I87">[71]!NETCHANGERATE</f>
        <v>+2.12%</v>
      </c>
      <c r="J87" cm="1">
        <f t="array" ref="J87">[71]!BIDVOLUME1</f>
        <v>3</v>
      </c>
      <c r="K87" cm="1">
        <f t="array" ref="K87">[71]!BIDPRICE1</f>
        <v>426320</v>
      </c>
      <c r="L87" cm="1">
        <f t="array" ref="L87">[71]!ASKPRICE1</f>
        <v>426360</v>
      </c>
      <c r="M87" cm="1">
        <f t="array" ref="M87">[71]!ASKVOLUME1</f>
        <v>1</v>
      </c>
      <c r="N87" cm="1">
        <f t="array" ref="N87">[71]!OPENPRICE</f>
        <v>419490</v>
      </c>
      <c r="O87" cm="1">
        <f t="array" ref="O87">[71]!HIGH</f>
        <v>429230</v>
      </c>
      <c r="P87" cm="1">
        <f t="array" ref="P87">[71]!LOW</f>
        <v>416840</v>
      </c>
      <c r="Q87" cm="1">
        <f t="array" ref="Q87">[71]!TRADEVOLUME</f>
        <v>133640</v>
      </c>
      <c r="R87" cm="1">
        <f t="array" ref="R87">[71]!POSIVOL</f>
        <v>25178</v>
      </c>
      <c r="S87" cm="1">
        <f t="array" ref="S87">[71]!POSIVOLCHANGE</f>
        <v>0</v>
      </c>
      <c r="T87" cm="1">
        <f t="array" ref="T87">[71]!POSIVOLCHANGEDAILY</f>
        <v>-1679</v>
      </c>
      <c r="U87" t="str" cm="1">
        <f t="array" ref="U87">[71]!INST_STATE</f>
        <v>连续交易</v>
      </c>
      <c r="V87" t="str" cm="1">
        <f t="array" ref="V87">[71]!UPDATETIME</f>
        <v>09:51:32.000</v>
      </c>
      <c r="W87" cm="1">
        <f t="array" ref="W87">[71]!UPPERLIMITPRICE</f>
        <v>467540</v>
      </c>
      <c r="X87" cm="1">
        <f t="array" ref="X87">[71]!LOWERLIMITPRICE</f>
        <v>367350</v>
      </c>
      <c r="Y87" t="e" cm="1">
        <f t="array" ref="Y87">[71]!CLOSEPRICE</f>
        <v>#N/A</v>
      </c>
      <c r="Z87" t="e" cm="1">
        <f t="array" ref="Z87">[71]!SETTLEPRICE</f>
        <v>#N/A</v>
      </c>
      <c r="AA87" cm="1">
        <f t="array" ref="AA87">[71]!PRECLOSE</f>
        <v>421320</v>
      </c>
      <c r="AB87" cm="1">
        <f t="array" ref="AB87">[71]!PRESETTLEPRICE</f>
        <v>417450</v>
      </c>
      <c r="AC87" t="s">
        <v>110</v>
      </c>
      <c r="AD87" t="s">
        <v>197</v>
      </c>
      <c r="AE87">
        <v>1</v>
      </c>
      <c r="AF87">
        <v>20260615</v>
      </c>
      <c r="AG87" t="e" cm="1">
        <f t="array" ref="AG87">[71]!MARGIN</f>
        <v>#N/A</v>
      </c>
      <c r="AH87" t="e" cm="1">
        <f t="array" ref="AH87">[71]!FEE</f>
        <v>#N/A</v>
      </c>
      <c r="AI87" t="s">
        <v>210</v>
      </c>
      <c r="AJ87" cm="1">
        <f t="array" ref="AJ87">[71]!IMPLYBIDVOLUME1</f>
        <v>0</v>
      </c>
      <c r="AK87" t="e" cm="1">
        <f t="array" ref="AK87">[71]!IMPLYBIDPRICE1</f>
        <v>#N/A</v>
      </c>
      <c r="AL87" t="e" cm="1">
        <f t="array" ref="AL87">[71]!IMPLYASKPRICE1</f>
        <v>#N/A</v>
      </c>
      <c r="AM87" cm="1">
        <f t="array" ref="AM87">[71]!IMPLYASKVOLUME1</f>
        <v>0</v>
      </c>
      <c r="AN87" cm="1">
        <f t="array" ref="AN87">[71]!VOLUMEBIDLOT</f>
        <v>0</v>
      </c>
      <c r="AO87" cm="1">
        <f t="array" ref="AO87">[71]!VOLUMEASKLOT</f>
        <v>0</v>
      </c>
    </row>
    <row r="88" spans="1:41" x14ac:dyDescent="0.25">
      <c r="A88" t="s">
        <v>198</v>
      </c>
      <c r="B88" t="s">
        <v>309</v>
      </c>
      <c r="C88" cm="1">
        <f t="array" ref="C88">[72]!NETVOLUME3862909776</f>
        <v>0</v>
      </c>
      <c r="D88" cm="1">
        <f t="array" ref="D88">[72]!LONGPOSITION3862909776</f>
        <v>0</v>
      </c>
      <c r="E88" cm="1">
        <f t="array" ref="E88">[72]!SHORTPOSITION3862909776</f>
        <v>0</v>
      </c>
      <c r="F88" cm="1">
        <f t="array" ref="F88">[72]!MTMPL3862909776</f>
        <v>0</v>
      </c>
      <c r="G88" cm="1">
        <f t="array" ref="G88">[72]!LASTPRICE</f>
        <v>4922</v>
      </c>
      <c r="H88" cm="1">
        <f t="array" ref="H88">[72]!NETCHANGE</f>
        <v>4</v>
      </c>
      <c r="I88" t="str" cm="1">
        <f t="array" ref="I88">[72]!NETCHANGERATE</f>
        <v>+0.08%</v>
      </c>
      <c r="J88" cm="1">
        <f t="array" ref="J88">[72]!BIDVOLUME1</f>
        <v>420</v>
      </c>
      <c r="K88" cm="1">
        <f t="array" ref="K88">[72]!BIDPRICE1</f>
        <v>4920</v>
      </c>
      <c r="L88" cm="1">
        <f t="array" ref="L88">[72]!ASKPRICE1</f>
        <v>4922</v>
      </c>
      <c r="M88" cm="1">
        <f t="array" ref="M88">[72]!ASKVOLUME1</f>
        <v>216</v>
      </c>
      <c r="N88" cm="1">
        <f t="array" ref="N88">[72]!OPENPRICE</f>
        <v>4916</v>
      </c>
      <c r="O88" cm="1">
        <f t="array" ref="O88">[72]!HIGH</f>
        <v>4936</v>
      </c>
      <c r="P88" cm="1">
        <f t="array" ref="P88">[72]!LOW</f>
        <v>4902</v>
      </c>
      <c r="Q88" cm="1">
        <f t="array" ref="Q88">[72]!TRADEVOLUME</f>
        <v>123635</v>
      </c>
      <c r="R88" cm="1">
        <f t="array" ref="R88">[72]!POSIVOL</f>
        <v>403061</v>
      </c>
      <c r="S88" cm="1">
        <f t="array" ref="S88">[72]!POSIVOLCHANGE</f>
        <v>0</v>
      </c>
      <c r="T88" cm="1">
        <f t="array" ref="T88">[72]!POSIVOLCHANGEDAILY</f>
        <v>8353</v>
      </c>
      <c r="U88" t="str" cm="1">
        <f t="array" ref="U88">[72]!INST_STATE</f>
        <v>连续交易</v>
      </c>
      <c r="V88" t="str" cm="1">
        <f t="array" ref="V88">[72]!UPDATETIME</f>
        <v>09:51:32.500</v>
      </c>
      <c r="W88" cm="1">
        <f t="array" ref="W88">[72]!UPPERLIMITPRICE</f>
        <v>5262</v>
      </c>
      <c r="X88" cm="1">
        <f t="array" ref="X88">[72]!LOWERLIMITPRICE</f>
        <v>4572</v>
      </c>
      <c r="Y88" t="e" cm="1">
        <f t="array" ref="Y88">[72]!CLOSEPRICE</f>
        <v>#N/A</v>
      </c>
      <c r="Z88" t="e" cm="1">
        <f t="array" ref="Z88">[72]!SETTLEPRICE</f>
        <v>#N/A</v>
      </c>
      <c r="AA88" cm="1">
        <f t="array" ref="AA88">[72]!PRECLOSE</f>
        <v>4912</v>
      </c>
      <c r="AB88" cm="1">
        <f t="array" ref="AB88">[72]!PRESETTLEPRICE</f>
        <v>4918</v>
      </c>
      <c r="AC88" t="s">
        <v>110</v>
      </c>
      <c r="AD88" t="s">
        <v>199</v>
      </c>
      <c r="AE88">
        <v>10</v>
      </c>
      <c r="AF88">
        <v>20260915</v>
      </c>
      <c r="AG88" t="e" cm="1">
        <f t="array" ref="AG88">[72]!MARGIN</f>
        <v>#N/A</v>
      </c>
      <c r="AH88" t="e" cm="1">
        <f t="array" ref="AH88">[72]!FEE</f>
        <v>#N/A</v>
      </c>
      <c r="AI88" t="s">
        <v>210</v>
      </c>
      <c r="AJ88" cm="1">
        <f t="array" ref="AJ88">[72]!IMPLYBIDVOLUME1</f>
        <v>0</v>
      </c>
      <c r="AK88" t="e" cm="1">
        <f t="array" ref="AK88">[72]!IMPLYBIDPRICE1</f>
        <v>#N/A</v>
      </c>
      <c r="AL88" t="e" cm="1">
        <f t="array" ref="AL88">[72]!IMPLYASKPRICE1</f>
        <v>#N/A</v>
      </c>
      <c r="AM88" cm="1">
        <f t="array" ref="AM88">[72]!IMPLYASKVOLUME1</f>
        <v>0</v>
      </c>
      <c r="AN88" cm="1">
        <f t="array" ref="AN88">[72]!VOLUMEBIDLOT</f>
        <v>0</v>
      </c>
      <c r="AO88" cm="1">
        <f t="array" ref="AO88">[72]!VOLUMEASKLOT</f>
        <v>0</v>
      </c>
    </row>
    <row r="89" spans="1:41" x14ac:dyDescent="0.25">
      <c r="A89" t="s">
        <v>200</v>
      </c>
      <c r="B89" t="s">
        <v>310</v>
      </c>
      <c r="C89" cm="1">
        <f t="array" ref="C89">[73]!NETVOLUME3862909776</f>
        <v>0</v>
      </c>
      <c r="D89" cm="1">
        <f t="array" ref="D89">[73]!LONGPOSITION3862909776</f>
        <v>0</v>
      </c>
      <c r="E89" cm="1">
        <f t="array" ref="E89">[73]!SHORTPOSITION3862909776</f>
        <v>0</v>
      </c>
      <c r="F89" cm="1">
        <f t="array" ref="F89">[73]!MTMPL3862909776</f>
        <v>0</v>
      </c>
      <c r="G89" cm="1">
        <f t="array" ref="G89">[73]!LASTPRICE</f>
        <v>14845</v>
      </c>
      <c r="H89" cm="1">
        <f t="array" ref="H89">[73]!NETCHANGE</f>
        <v>50</v>
      </c>
      <c r="I89" t="str" cm="1">
        <f t="array" ref="I89">[73]!NETCHANGERATE</f>
        <v>+0.34%</v>
      </c>
      <c r="J89" cm="1">
        <f t="array" ref="J89">[73]!BIDVOLUME1</f>
        <v>2</v>
      </c>
      <c r="K89" cm="1">
        <f t="array" ref="K89">[73]!BIDPRICE1</f>
        <v>14845</v>
      </c>
      <c r="L89" cm="1">
        <f t="array" ref="L89">[73]!ASKPRICE1</f>
        <v>14850</v>
      </c>
      <c r="M89" cm="1">
        <f t="array" ref="M89">[73]!ASKVOLUME1</f>
        <v>174</v>
      </c>
      <c r="N89" cm="1">
        <f t="array" ref="N89">[73]!OPENPRICE</f>
        <v>14730</v>
      </c>
      <c r="O89" cm="1">
        <f t="array" ref="O89">[73]!HIGH</f>
        <v>14950</v>
      </c>
      <c r="P89" cm="1">
        <f t="array" ref="P89">[73]!LOW</f>
        <v>14720</v>
      </c>
      <c r="Q89" cm="1">
        <f t="array" ref="Q89">[73]!TRADEVOLUME</f>
        <v>163965</v>
      </c>
      <c r="R89" cm="1">
        <f t="array" ref="R89">[73]!POSIVOL</f>
        <v>122981</v>
      </c>
      <c r="S89" cm="1">
        <f t="array" ref="S89">[73]!POSIVOLCHANGE</f>
        <v>0</v>
      </c>
      <c r="T89" cm="1">
        <f t="array" ref="T89">[73]!POSIVOLCHANGEDAILY</f>
        <v>1243</v>
      </c>
      <c r="U89" t="str" cm="1">
        <f t="array" ref="U89">[73]!INST_STATE</f>
        <v>连续交易</v>
      </c>
      <c r="V89" t="str" cm="1">
        <f t="array" ref="V89">[73]!UPDATETIME</f>
        <v>09:51:32.500</v>
      </c>
      <c r="W89" cm="1">
        <f t="array" ref="W89">[73]!UPPERLIMITPRICE</f>
        <v>15680</v>
      </c>
      <c r="X89" cm="1">
        <f t="array" ref="X89">[73]!LOWERLIMITPRICE</f>
        <v>13905</v>
      </c>
      <c r="Y89" t="e" cm="1">
        <f t="array" ref="Y89">[73]!CLOSEPRICE</f>
        <v>#N/A</v>
      </c>
      <c r="Z89" t="e" cm="1">
        <f t="array" ref="Z89">[73]!SETTLEPRICE</f>
        <v>#N/A</v>
      </c>
      <c r="AA89" cm="1">
        <f t="array" ref="AA89">[73]!PRECLOSE</f>
        <v>14745</v>
      </c>
      <c r="AB89" cm="1">
        <f t="array" ref="AB89">[73]!PRESETTLEPRICE</f>
        <v>14795</v>
      </c>
      <c r="AC89" t="s">
        <v>110</v>
      </c>
      <c r="AD89" t="s">
        <v>201</v>
      </c>
      <c r="AE89">
        <v>5</v>
      </c>
      <c r="AF89">
        <v>20260715</v>
      </c>
      <c r="AG89" t="e" cm="1">
        <f t="array" ref="AG89">[73]!MARGIN</f>
        <v>#N/A</v>
      </c>
      <c r="AH89" t="e" cm="1">
        <f t="array" ref="AH89">[73]!FEE</f>
        <v>#N/A</v>
      </c>
      <c r="AI89" t="s">
        <v>210</v>
      </c>
      <c r="AJ89" cm="1">
        <f t="array" ref="AJ89">[73]!IMPLYBIDVOLUME1</f>
        <v>0</v>
      </c>
      <c r="AK89" t="e" cm="1">
        <f t="array" ref="AK89">[73]!IMPLYBIDPRICE1</f>
        <v>#N/A</v>
      </c>
      <c r="AL89" t="e" cm="1">
        <f t="array" ref="AL89">[73]!IMPLYASKPRICE1</f>
        <v>#N/A</v>
      </c>
      <c r="AM89" cm="1">
        <f t="array" ref="AM89">[73]!IMPLYASKVOLUME1</f>
        <v>0</v>
      </c>
      <c r="AN89" cm="1">
        <f t="array" ref="AN89">[73]!VOLUMEBIDLOT</f>
        <v>0</v>
      </c>
      <c r="AO89" cm="1">
        <f t="array" ref="AO89">[73]!VOLUMEASKLOT</f>
        <v>0</v>
      </c>
    </row>
    <row r="90" spans="1:41" x14ac:dyDescent="0.25">
      <c r="A90" t="s">
        <v>204</v>
      </c>
      <c r="B90" t="s">
        <v>311</v>
      </c>
      <c r="C90" cm="1">
        <f t="array" ref="C90">[75]!NETVOLUME3862909776</f>
        <v>0</v>
      </c>
      <c r="D90" cm="1">
        <f t="array" ref="D90">[75]!LONGPOSITION3862909776</f>
        <v>0</v>
      </c>
      <c r="E90" cm="1">
        <f t="array" ref="E90">[75]!SHORTPOSITION3862909776</f>
        <v>0</v>
      </c>
      <c r="F90" cm="1">
        <f t="array" ref="F90">[75]!MTMPL3862909776</f>
        <v>0</v>
      </c>
      <c r="G90" cm="1">
        <f t="array" ref="G90">[75]!LASTPRICE</f>
        <v>3384</v>
      </c>
      <c r="H90" cm="1">
        <f t="array" ref="H90">[75]!NETCHANGE</f>
        <v>-51</v>
      </c>
      <c r="I90" t="str" cm="1">
        <f t="array" ref="I90">[75]!NETCHANGERATE</f>
        <v>-1.48%</v>
      </c>
      <c r="J90" cm="1">
        <f t="array" ref="J90">[75]!BIDVOLUME1</f>
        <v>1</v>
      </c>
      <c r="K90" cm="1">
        <f t="array" ref="K90">[75]!BIDPRICE1</f>
        <v>3365</v>
      </c>
      <c r="L90" cm="1">
        <f t="array" ref="L90">[75]!ASKPRICE1</f>
        <v>3391</v>
      </c>
      <c r="M90" cm="1">
        <f t="array" ref="M90">[75]!ASKVOLUME1</f>
        <v>1</v>
      </c>
      <c r="N90" cm="1">
        <f t="array" ref="N90">[75]!OPENPRICE</f>
        <v>3333</v>
      </c>
      <c r="O90" cm="1">
        <f t="array" ref="O90">[75]!HIGH</f>
        <v>3410</v>
      </c>
      <c r="P90" cm="1">
        <f t="array" ref="P90">[75]!LOW</f>
        <v>3333</v>
      </c>
      <c r="Q90" cm="1">
        <f t="array" ref="Q90">[75]!TRADEVOLUME</f>
        <v>13</v>
      </c>
      <c r="R90" cm="1">
        <f t="array" ref="R90">[75]!POSIVOL</f>
        <v>65</v>
      </c>
      <c r="S90" cm="1">
        <f t="array" ref="S90">[75]!POSIVOLCHANGE</f>
        <v>0</v>
      </c>
      <c r="T90" cm="1">
        <f t="array" ref="T90">[75]!POSIVOLCHANGEDAILY</f>
        <v>0</v>
      </c>
      <c r="U90" t="str" cm="1">
        <f t="array" ref="U90">[75]!INST_STATE</f>
        <v>连续交易</v>
      </c>
      <c r="V90" t="str" cm="1">
        <f t="array" ref="V90">[75]!UPDATETIME</f>
        <v>09:51:37.500</v>
      </c>
      <c r="W90" cm="1">
        <f t="array" ref="W90">[75]!UPPERLIMITPRICE</f>
        <v>3622</v>
      </c>
      <c r="X90" cm="1">
        <f t="array" ref="X90">[75]!LOWERLIMITPRICE</f>
        <v>3085</v>
      </c>
      <c r="Y90" t="e" cm="1">
        <f t="array" ref="Y90">[75]!CLOSEPRICE</f>
        <v>#N/A</v>
      </c>
      <c r="Z90" t="e" cm="1">
        <f t="array" ref="Z90">[75]!SETTLEPRICE</f>
        <v>#N/A</v>
      </c>
      <c r="AA90" cm="1">
        <f t="array" ref="AA90">[75]!PRECLOSE</f>
        <v>3352</v>
      </c>
      <c r="AB90" cm="1">
        <f t="array" ref="AB90">[75]!PRESETTLEPRICE</f>
        <v>3435</v>
      </c>
      <c r="AC90" t="s">
        <v>110</v>
      </c>
      <c r="AD90" t="s">
        <v>205</v>
      </c>
      <c r="AE90">
        <v>10</v>
      </c>
      <c r="AF90">
        <v>20260715</v>
      </c>
      <c r="AG90" t="e" cm="1">
        <f t="array" ref="AG90">[75]!MARGIN</f>
        <v>#N/A</v>
      </c>
      <c r="AH90" t="e" cm="1">
        <f t="array" ref="AH90">[75]!FEE</f>
        <v>#N/A</v>
      </c>
      <c r="AI90" t="s">
        <v>210</v>
      </c>
      <c r="AJ90" cm="1">
        <f t="array" ref="AJ90">[75]!IMPLYBIDVOLUME1</f>
        <v>0</v>
      </c>
      <c r="AK90" t="e" cm="1">
        <f t="array" ref="AK90">[75]!IMPLYBIDPRICE1</f>
        <v>#N/A</v>
      </c>
      <c r="AL90" t="e" cm="1">
        <f t="array" ref="AL90">[75]!IMPLYASKPRICE1</f>
        <v>#N/A</v>
      </c>
      <c r="AM90" cm="1">
        <f t="array" ref="AM90">[75]!IMPLYASKVOLUME1</f>
        <v>0</v>
      </c>
      <c r="AN90" cm="1">
        <f t="array" ref="AN90">[75]!VOLUMEBIDLOT</f>
        <v>0</v>
      </c>
      <c r="AO90" cm="1">
        <f t="array" ref="AO90">[75]!VOLUMEASKLOT</f>
        <v>0</v>
      </c>
    </row>
    <row r="91" spans="1:41" x14ac:dyDescent="0.25">
      <c r="A91" t="s">
        <v>312</v>
      </c>
      <c r="B91" t="s">
        <v>313</v>
      </c>
      <c r="C91" cm="1">
        <f t="array" ref="C91">[90]!NETVOLUME3862909776</f>
        <v>0</v>
      </c>
      <c r="D91" cm="1">
        <f t="array" ref="D91">[90]!LONGPOSITION3862909776</f>
        <v>0</v>
      </c>
      <c r="E91" cm="1">
        <f t="array" ref="E91">[90]!SHORTPOSITION3862909776</f>
        <v>0</v>
      </c>
      <c r="F91" cm="1">
        <f t="array" ref="F91">[90]!MTMPL3862909776</f>
        <v>0</v>
      </c>
      <c r="G91" cm="1">
        <f t="array" ref="G91">[90]!LASTPRICE</f>
        <v>24865</v>
      </c>
      <c r="H91" cm="1">
        <f t="array" ref="H91">[90]!NETCHANGE</f>
        <v>85</v>
      </c>
      <c r="I91" t="str" cm="1">
        <f t="array" ref="I91">[90]!NETCHANGERATE</f>
        <v>+0.34%</v>
      </c>
      <c r="J91" cm="1">
        <f t="array" ref="J91">[90]!BIDVOLUME1</f>
        <v>46</v>
      </c>
      <c r="K91" cm="1">
        <f t="array" ref="K91">[90]!BIDPRICE1</f>
        <v>24860</v>
      </c>
      <c r="L91" cm="1">
        <f t="array" ref="L91">[90]!ASKPRICE1</f>
        <v>24865</v>
      </c>
      <c r="M91" cm="1">
        <f t="array" ref="M91">[90]!ASKVOLUME1</f>
        <v>57</v>
      </c>
      <c r="N91" cm="1">
        <f t="array" ref="N91">[90]!OPENPRICE</f>
        <v>24790</v>
      </c>
      <c r="O91" cm="1">
        <f t="array" ref="O91">[90]!HIGH</f>
        <v>24900</v>
      </c>
      <c r="P91" cm="1">
        <f t="array" ref="P91">[90]!LOW</f>
        <v>24695</v>
      </c>
      <c r="Q91" cm="1">
        <f t="array" ref="Q91">[90]!TRADEVOLUME</f>
        <v>65736</v>
      </c>
      <c r="R91" cm="1">
        <f t="array" ref="R91">[90]!POSIVOL</f>
        <v>104193</v>
      </c>
      <c r="S91" cm="1">
        <f t="array" ref="S91">[90]!POSIVOLCHANGE</f>
        <v>0</v>
      </c>
      <c r="T91" cm="1">
        <f t="array" ref="T91">[90]!POSIVOLCHANGEDAILY</f>
        <v>4987</v>
      </c>
      <c r="U91" t="str" cm="1">
        <f t="array" ref="U91">[90]!INST_STATE</f>
        <v>连续交易</v>
      </c>
      <c r="V91" t="str" cm="1">
        <f t="array" ref="V91">[90]!UPDATETIME</f>
        <v>09:51:32.000</v>
      </c>
      <c r="W91" cm="1">
        <f t="array" ref="W91">[90]!UPPERLIMITPRICE</f>
        <v>27255</v>
      </c>
      <c r="X91" cm="1">
        <f t="array" ref="X91">[90]!LOWERLIMITPRICE</f>
        <v>22300</v>
      </c>
      <c r="Y91" t="e" cm="1">
        <f t="array" ref="Y91">[90]!CLOSEPRICE</f>
        <v>#N/A</v>
      </c>
      <c r="Z91" t="e" cm="1">
        <f t="array" ref="Z91">[90]!SETTLEPRICE</f>
        <v>#N/A</v>
      </c>
      <c r="AA91" cm="1">
        <f t="array" ref="AA91">[90]!PRECLOSE</f>
        <v>24865</v>
      </c>
      <c r="AB91" cm="1">
        <f t="array" ref="AB91">[90]!PRESETTLEPRICE</f>
        <v>24780</v>
      </c>
      <c r="AC91" t="s">
        <v>110</v>
      </c>
      <c r="AD91" t="s">
        <v>208</v>
      </c>
      <c r="AE91">
        <v>5</v>
      </c>
      <c r="AF91">
        <v>20260715</v>
      </c>
      <c r="AG91" t="e" cm="1">
        <f t="array" ref="AG91">[90]!MARGIN</f>
        <v>#N/A</v>
      </c>
      <c r="AH91" t="e" cm="1">
        <f t="array" ref="AH91">[90]!FEE</f>
        <v>#N/A</v>
      </c>
      <c r="AI91" t="s">
        <v>210</v>
      </c>
      <c r="AJ91" cm="1">
        <f t="array" ref="AJ91">[90]!IMPLYBIDVOLUME1</f>
        <v>0</v>
      </c>
      <c r="AK91" t="e" cm="1">
        <f t="array" ref="AK91">[90]!IMPLYBIDPRICE1</f>
        <v>#N/A</v>
      </c>
      <c r="AL91" t="e" cm="1">
        <f t="array" ref="AL91">[90]!IMPLYASKPRICE1</f>
        <v>#N/A</v>
      </c>
      <c r="AM91" cm="1">
        <f t="array" ref="AM91">[90]!IMPLYASKVOLUME1</f>
        <v>0</v>
      </c>
      <c r="AN91" cm="1">
        <f t="array" ref="AN91">[90]!VOLUMEBIDLOT</f>
        <v>0</v>
      </c>
      <c r="AO91" cm="1">
        <f t="array" ref="AO91">[90]!VOLUMEASKLOT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Miao Xin Yi</cp:lastModifiedBy>
  <dcterms:created xsi:type="dcterms:W3CDTF">2015-06-05T18:19:34Z</dcterms:created>
  <dcterms:modified xsi:type="dcterms:W3CDTF">2026-05-26T15:00:44Z</dcterms:modified>
</cp:coreProperties>
</file>