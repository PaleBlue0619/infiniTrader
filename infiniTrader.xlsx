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Quant\QuantTrader\infiniTrader\"/>
    </mc:Choice>
  </mc:AlternateContent>
  <xr:revisionPtr revIDLastSave="0" documentId="13_ncr:1_{083B0E21-0F66-4D1E-9088-4F5B94C1567C}" xr6:coauthVersionLast="47" xr6:coauthVersionMax="47" xr10:uidLastSave="{00000000-0000-0000-0000-000000000000}"/>
  <bookViews>
    <workbookView xWindow="1884" yWindow="1884" windowWidth="16152" windowHeight="10236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D2" i="1" a="1"/>
  <c r="D2" i="1"/>
  <c r="E2" i="1" a="1"/>
  <c r="E2" i="1" s="1"/>
  <c r="F2" i="1" a="1"/>
  <c r="F2" i="1" s="1"/>
  <c r="G2" i="1" a="1"/>
  <c r="G2" i="1" s="1"/>
  <c r="H2" i="1" a="1"/>
  <c r="H2" i="1" s="1"/>
  <c r="I2" i="1" a="1"/>
  <c r="I2" i="1" s="1"/>
  <c r="J2" i="1" a="1"/>
  <c r="J2" i="1" s="1"/>
  <c r="K2" i="1" a="1"/>
  <c r="K2" i="1" s="1"/>
  <c r="L2" i="1" a="1"/>
  <c r="L2" i="1" s="1"/>
  <c r="M2" i="1" a="1"/>
  <c r="M2" i="1" s="1"/>
  <c r="N2" i="1" a="1"/>
  <c r="N2" i="1" s="1"/>
  <c r="O2" i="1" a="1"/>
  <c r="O2" i="1" s="1"/>
  <c r="P2" i="1" a="1"/>
  <c r="P2" i="1" s="1"/>
  <c r="Q2" i="1" a="1"/>
  <c r="Q2" i="1" s="1"/>
  <c r="R2" i="1" a="1"/>
  <c r="R2" i="1" s="1"/>
  <c r="S2" i="1" a="1"/>
  <c r="S2" i="1" s="1"/>
  <c r="T2" i="1" a="1"/>
  <c r="T2" i="1" s="1"/>
  <c r="U2" i="1" a="1"/>
  <c r="U2" i="1" s="1"/>
  <c r="V2" i="1" a="1"/>
  <c r="V2" i="1" s="1"/>
  <c r="W2" i="1" a="1"/>
  <c r="W2" i="1" s="1"/>
  <c r="X2" i="1" a="1"/>
  <c r="X2" i="1" s="1"/>
  <c r="Y2" i="1" a="1"/>
  <c r="Y2" i="1"/>
  <c r="Z2" i="1" a="1"/>
  <c r="Z2" i="1"/>
  <c r="AA2" i="1" a="1"/>
  <c r="AA2" i="1" s="1"/>
  <c r="AB2" i="1" a="1"/>
  <c r="AB2" i="1" s="1"/>
  <c r="AG2" i="1" a="1"/>
  <c r="AG2" i="1" s="1"/>
  <c r="AH2" i="1" a="1"/>
  <c r="AH2" i="1" s="1"/>
  <c r="AJ2" i="1" a="1"/>
  <c r="AJ2" i="1" s="1"/>
  <c r="AK2" i="1" a="1"/>
  <c r="AK2" i="1"/>
  <c r="AL2" i="1" a="1"/>
  <c r="AL2" i="1"/>
  <c r="AM2" i="1" a="1"/>
  <c r="AM2" i="1" s="1"/>
  <c r="AN2" i="1" a="1"/>
  <c r="AN2" i="1" s="1"/>
  <c r="AO2" i="1" a="1"/>
  <c r="AO2" i="1" s="1"/>
  <c r="C3" i="1" a="1"/>
  <c r="C3" i="1" s="1"/>
  <c r="D3" i="1" a="1"/>
  <c r="D3" i="1" s="1"/>
  <c r="E3" i="1" a="1"/>
  <c r="E3" i="1"/>
  <c r="F3" i="1" a="1"/>
  <c r="F3" i="1" s="1"/>
  <c r="G3" i="1" a="1"/>
  <c r="G3" i="1" s="1"/>
  <c r="H3" i="1" a="1"/>
  <c r="H3" i="1" s="1"/>
  <c r="I3" i="1" a="1"/>
  <c r="I3" i="1" s="1"/>
  <c r="J3" i="1" a="1"/>
  <c r="J3" i="1" s="1"/>
  <c r="K3" i="1" a="1"/>
  <c r="K3" i="1" s="1"/>
  <c r="L3" i="1" a="1"/>
  <c r="L3" i="1" s="1"/>
  <c r="M3" i="1" a="1"/>
  <c r="M3" i="1" s="1"/>
  <c r="N3" i="1" a="1"/>
  <c r="N3" i="1" s="1"/>
  <c r="O3" i="1" a="1"/>
  <c r="O3" i="1" s="1"/>
  <c r="P3" i="1" a="1"/>
  <c r="P3" i="1" s="1"/>
  <c r="Q3" i="1" a="1"/>
  <c r="Q3" i="1" s="1"/>
  <c r="R3" i="1" a="1"/>
  <c r="R3" i="1" s="1"/>
  <c r="S3" i="1" a="1"/>
  <c r="S3" i="1" s="1"/>
  <c r="T3" i="1" a="1"/>
  <c r="T3" i="1" s="1"/>
  <c r="U3" i="1" a="1"/>
  <c r="U3" i="1" s="1"/>
  <c r="V3" i="1" a="1"/>
  <c r="V3" i="1" s="1"/>
  <c r="W3" i="1" a="1"/>
  <c r="W3" i="1" s="1"/>
  <c r="X3" i="1" a="1"/>
  <c r="X3" i="1" s="1"/>
  <c r="Y3" i="1" a="1"/>
  <c r="Y3" i="1"/>
  <c r="Z3" i="1" a="1"/>
  <c r="Z3" i="1" s="1"/>
  <c r="AA3" i="1" a="1"/>
  <c r="AA3" i="1" s="1"/>
  <c r="AB3" i="1" a="1"/>
  <c r="AB3" i="1" s="1"/>
  <c r="AG3" i="1" a="1"/>
  <c r="AG3" i="1"/>
  <c r="AH3" i="1" a="1"/>
  <c r="AH3" i="1"/>
  <c r="AJ3" i="1" a="1"/>
  <c r="AJ3" i="1" s="1"/>
  <c r="AK3" i="1" a="1"/>
  <c r="AK3" i="1"/>
  <c r="AL3" i="1" a="1"/>
  <c r="AL3" i="1"/>
  <c r="AM3" i="1" a="1"/>
  <c r="AM3" i="1" s="1"/>
  <c r="AN3" i="1" a="1"/>
  <c r="AN3" i="1" s="1"/>
  <c r="AO3" i="1" a="1"/>
  <c r="AO3" i="1" s="1"/>
  <c r="C4" i="1" a="1"/>
  <c r="C4" i="1"/>
  <c r="D4" i="1" a="1"/>
  <c r="D4" i="1" s="1"/>
  <c r="E4" i="1" a="1"/>
  <c r="E4" i="1" s="1"/>
  <c r="F4" i="1" a="1"/>
  <c r="F4" i="1" s="1"/>
  <c r="G4" i="1" a="1"/>
  <c r="G4" i="1" s="1"/>
  <c r="H4" i="1" a="1"/>
  <c r="H4" i="1" s="1"/>
  <c r="I4" i="1" a="1"/>
  <c r="I4" i="1" s="1"/>
  <c r="J4" i="1" a="1"/>
  <c r="J4" i="1" s="1"/>
  <c r="K4" i="1" a="1"/>
  <c r="K4" i="1" s="1"/>
  <c r="L4" i="1" a="1"/>
  <c r="L4" i="1" s="1"/>
  <c r="M4" i="1" a="1"/>
  <c r="M4" i="1" s="1"/>
  <c r="N4" i="1" a="1"/>
  <c r="N4" i="1" s="1"/>
  <c r="O4" i="1" a="1"/>
  <c r="O4" i="1" s="1"/>
  <c r="P4" i="1" a="1"/>
  <c r="P4" i="1" s="1"/>
  <c r="Q4" i="1" a="1"/>
  <c r="Q4" i="1" s="1"/>
  <c r="R4" i="1" a="1"/>
  <c r="R4" i="1" s="1"/>
  <c r="S4" i="1" a="1"/>
  <c r="S4" i="1" s="1"/>
  <c r="T4" i="1" a="1"/>
  <c r="T4" i="1" s="1"/>
  <c r="U4" i="1" a="1"/>
  <c r="U4" i="1" s="1"/>
  <c r="V4" i="1" a="1"/>
  <c r="V4" i="1" s="1"/>
  <c r="W4" i="1" a="1"/>
  <c r="W4" i="1" s="1"/>
  <c r="X4" i="1" a="1"/>
  <c r="X4" i="1" s="1"/>
  <c r="Y4" i="1" a="1"/>
  <c r="Y4" i="1"/>
  <c r="Z4" i="1" a="1"/>
  <c r="Z4" i="1"/>
  <c r="AA4" i="1" a="1"/>
  <c r="AA4" i="1" s="1"/>
  <c r="AB4" i="1" a="1"/>
  <c r="AB4" i="1" s="1"/>
  <c r="AG4" i="1" a="1"/>
  <c r="AG4" i="1" s="1"/>
  <c r="AH4" i="1" a="1"/>
  <c r="AH4" i="1" s="1"/>
  <c r="AJ4" i="1" a="1"/>
  <c r="AJ4" i="1" s="1"/>
  <c r="AK4" i="1" a="1"/>
  <c r="AK4" i="1"/>
  <c r="AL4" i="1" a="1"/>
  <c r="AL4" i="1"/>
  <c r="AM4" i="1" a="1"/>
  <c r="AM4" i="1" s="1"/>
  <c r="AN4" i="1" a="1"/>
  <c r="AN4" i="1" s="1"/>
  <c r="AO4" i="1" a="1"/>
  <c r="AO4" i="1" s="1"/>
  <c r="C5" i="1" a="1"/>
  <c r="C5" i="1"/>
  <c r="D5" i="1" a="1"/>
  <c r="D5" i="1" s="1"/>
  <c r="E5" i="1" a="1"/>
  <c r="E5" i="1"/>
  <c r="F5" i="1" a="1"/>
  <c r="F5" i="1" s="1"/>
  <c r="G5" i="1" a="1"/>
  <c r="G5" i="1" s="1"/>
  <c r="H5" i="1" a="1"/>
  <c r="H5" i="1" s="1"/>
  <c r="I5" i="1" a="1"/>
  <c r="I5" i="1" s="1"/>
  <c r="J5" i="1" a="1"/>
  <c r="J5" i="1" s="1"/>
  <c r="K5" i="1" a="1"/>
  <c r="K5" i="1" s="1"/>
  <c r="L5" i="1" a="1"/>
  <c r="L5" i="1" s="1"/>
  <c r="M5" i="1" a="1"/>
  <c r="M5" i="1" s="1"/>
  <c r="N5" i="1" a="1"/>
  <c r="N5" i="1" s="1"/>
  <c r="O5" i="1" a="1"/>
  <c r="O5" i="1" s="1"/>
  <c r="P5" i="1" a="1"/>
  <c r="P5" i="1" s="1"/>
  <c r="Q5" i="1" a="1"/>
  <c r="Q5" i="1" s="1"/>
  <c r="R5" i="1" a="1"/>
  <c r="R5" i="1" s="1"/>
  <c r="S5" i="1" a="1"/>
  <c r="S5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Y5" i="1" a="1"/>
  <c r="Y5" i="1"/>
  <c r="Z5" i="1" a="1"/>
  <c r="Z5" i="1" s="1"/>
  <c r="AA5" i="1" a="1"/>
  <c r="AA5" i="1" s="1"/>
  <c r="AB5" i="1" a="1"/>
  <c r="AB5" i="1" s="1"/>
  <c r="AG5" i="1" a="1"/>
  <c r="AG5" i="1" s="1"/>
  <c r="AH5" i="1" a="1"/>
  <c r="AH5" i="1" s="1"/>
  <c r="AJ5" i="1" a="1"/>
  <c r="AJ5" i="1" s="1"/>
  <c r="AK5" i="1" a="1"/>
  <c r="AK5" i="1"/>
  <c r="AL5" i="1" a="1"/>
  <c r="AL5" i="1"/>
  <c r="AM5" i="1" a="1"/>
  <c r="AM5" i="1" s="1"/>
  <c r="AN5" i="1" a="1"/>
  <c r="AN5" i="1" s="1"/>
  <c r="AO5" i="1" a="1"/>
  <c r="AO5" i="1" s="1"/>
  <c r="C6" i="1" a="1"/>
  <c r="C6" i="1" s="1"/>
  <c r="D6" i="1" a="1"/>
  <c r="D6" i="1"/>
  <c r="E6" i="1" a="1"/>
  <c r="E6" i="1"/>
  <c r="F6" i="1" a="1"/>
  <c r="F6" i="1"/>
  <c r="G6" i="1" a="1"/>
  <c r="G6" i="1" s="1"/>
  <c r="H6" i="1" a="1"/>
  <c r="H6" i="1" s="1"/>
  <c r="I6" i="1" a="1"/>
  <c r="I6" i="1" s="1"/>
  <c r="J6" i="1" a="1"/>
  <c r="J6" i="1" s="1"/>
  <c r="K6" i="1" a="1"/>
  <c r="K6" i="1" s="1"/>
  <c r="L6" i="1" a="1"/>
  <c r="L6" i="1" s="1"/>
  <c r="M6" i="1" a="1"/>
  <c r="M6" i="1" s="1"/>
  <c r="N6" i="1" a="1"/>
  <c r="N6" i="1" s="1"/>
  <c r="O6" i="1" a="1"/>
  <c r="O6" i="1" s="1"/>
  <c r="P6" i="1" a="1"/>
  <c r="P6" i="1" s="1"/>
  <c r="Q6" i="1" a="1"/>
  <c r="Q6" i="1" s="1"/>
  <c r="R6" i="1" a="1"/>
  <c r="R6" i="1" s="1"/>
  <c r="S6" i="1" a="1"/>
  <c r="S6" i="1" s="1"/>
  <c r="T6" i="1" a="1"/>
  <c r="T6" i="1" s="1"/>
  <c r="U6" i="1" a="1"/>
  <c r="U6" i="1" s="1"/>
  <c r="V6" i="1" a="1"/>
  <c r="V6" i="1" s="1"/>
  <c r="W6" i="1" a="1"/>
  <c r="W6" i="1" s="1"/>
  <c r="X6" i="1" a="1"/>
  <c r="X6" i="1" s="1"/>
  <c r="Y6" i="1" a="1"/>
  <c r="Y6" i="1"/>
  <c r="Z6" i="1" a="1"/>
  <c r="Z6" i="1" s="1"/>
  <c r="AA6" i="1" a="1"/>
  <c r="AA6" i="1" s="1"/>
  <c r="AB6" i="1" a="1"/>
  <c r="AB6" i="1" s="1"/>
  <c r="AG6" i="1" a="1"/>
  <c r="AG6" i="1"/>
  <c r="AH6" i="1" a="1"/>
  <c r="AH6" i="1"/>
  <c r="AJ6" i="1" a="1"/>
  <c r="AJ6" i="1" s="1"/>
  <c r="AK6" i="1" a="1"/>
  <c r="AK6" i="1"/>
  <c r="AL6" i="1" a="1"/>
  <c r="AL6" i="1"/>
  <c r="AM6" i="1" a="1"/>
  <c r="AM6" i="1" s="1"/>
  <c r="AN6" i="1" a="1"/>
  <c r="AN6" i="1" s="1"/>
  <c r="AO6" i="1" a="1"/>
  <c r="AO6" i="1" s="1"/>
  <c r="C7" i="1" a="1"/>
  <c r="C7" i="1" s="1"/>
  <c r="D7" i="1" a="1"/>
  <c r="D7" i="1" s="1"/>
  <c r="E7" i="1" a="1"/>
  <c r="E7" i="1"/>
  <c r="F7" i="1" a="1"/>
  <c r="F7" i="1" s="1"/>
  <c r="G7" i="1" a="1"/>
  <c r="G7" i="1"/>
  <c r="H7" i="1" a="1"/>
  <c r="H7" i="1"/>
  <c r="I7" i="1" a="1"/>
  <c r="I7" i="1" s="1"/>
  <c r="J7" i="1" a="1"/>
  <c r="J7" i="1" s="1"/>
  <c r="K7" i="1" a="1"/>
  <c r="K7" i="1"/>
  <c r="L7" i="1" a="1"/>
  <c r="L7" i="1" s="1"/>
  <c r="M7" i="1" a="1"/>
  <c r="M7" i="1"/>
  <c r="N7" i="1" a="1"/>
  <c r="N7" i="1"/>
  <c r="O7" i="1" a="1"/>
  <c r="O7" i="1" s="1"/>
  <c r="P7" i="1" a="1"/>
  <c r="P7" i="1" s="1"/>
  <c r="Q7" i="1" a="1"/>
  <c r="Q7" i="1"/>
  <c r="R7" i="1" a="1"/>
  <c r="R7" i="1" s="1"/>
  <c r="S7" i="1" a="1"/>
  <c r="S7" i="1"/>
  <c r="T7" i="1" a="1"/>
  <c r="T7" i="1"/>
  <c r="U7" i="1" a="1"/>
  <c r="U7" i="1" s="1"/>
  <c r="V7" i="1" a="1"/>
  <c r="V7" i="1" s="1"/>
  <c r="W7" i="1" a="1"/>
  <c r="W7" i="1"/>
  <c r="X7" i="1" a="1"/>
  <c r="X7" i="1" s="1"/>
  <c r="Y7" i="1" a="1"/>
  <c r="Y7" i="1"/>
  <c r="Z7" i="1" a="1"/>
  <c r="Z7" i="1"/>
  <c r="AA7" i="1" a="1"/>
  <c r="AA7" i="1" s="1"/>
  <c r="AB7" i="1" a="1"/>
  <c r="AB7" i="1" s="1"/>
  <c r="AG7" i="1" a="1"/>
  <c r="AG7" i="1"/>
  <c r="AH7" i="1" a="1"/>
  <c r="AH7" i="1"/>
  <c r="AJ7" i="1" a="1"/>
  <c r="AJ7" i="1" s="1"/>
  <c r="AK7" i="1" a="1"/>
  <c r="AK7" i="1"/>
  <c r="AL7" i="1" a="1"/>
  <c r="AL7" i="1"/>
  <c r="AM7" i="1" a="1"/>
  <c r="AM7" i="1" s="1"/>
  <c r="AN7" i="1" a="1"/>
  <c r="AN7" i="1"/>
  <c r="AO7" i="1" a="1"/>
  <c r="AO7" i="1" s="1"/>
  <c r="C8" i="1" a="1"/>
  <c r="C8" i="1" s="1"/>
  <c r="D8" i="1" a="1"/>
  <c r="D8" i="1"/>
  <c r="E8" i="1" a="1"/>
  <c r="E8" i="1" s="1"/>
  <c r="F8" i="1" a="1"/>
  <c r="F8" i="1" s="1"/>
  <c r="G8" i="1" a="1"/>
  <c r="G8" i="1" s="1"/>
  <c r="H8" i="1" a="1"/>
  <c r="H8" i="1" s="1"/>
  <c r="I8" i="1" a="1"/>
  <c r="I8" i="1" s="1"/>
  <c r="J8" i="1" a="1"/>
  <c r="J8" i="1" s="1"/>
  <c r="K8" i="1" a="1"/>
  <c r="K8" i="1" s="1"/>
  <c r="L8" i="1" a="1"/>
  <c r="L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/>
  <c r="Z8" i="1" a="1"/>
  <c r="Z8" i="1"/>
  <c r="AA8" i="1" a="1"/>
  <c r="AA8" i="1" s="1"/>
  <c r="AB8" i="1" a="1"/>
  <c r="AB8" i="1" s="1"/>
  <c r="AG8" i="1" a="1"/>
  <c r="AG8" i="1"/>
  <c r="AH8" i="1" a="1"/>
  <c r="AH8" i="1"/>
  <c r="AJ8" i="1" a="1"/>
  <c r="AJ8" i="1" s="1"/>
  <c r="AK8" i="1" a="1"/>
  <c r="AK8" i="1"/>
  <c r="AL8" i="1" a="1"/>
  <c r="AL8" i="1"/>
  <c r="AM8" i="1" a="1"/>
  <c r="AM8" i="1" s="1"/>
  <c r="AN8" i="1" a="1"/>
  <c r="AN8" i="1" s="1"/>
  <c r="AO8" i="1" a="1"/>
  <c r="AO8" i="1" s="1"/>
  <c r="C9" i="1" a="1"/>
  <c r="C9" i="1"/>
  <c r="D9" i="1" a="1"/>
  <c r="D9" i="1" s="1"/>
  <c r="E9" i="1" a="1"/>
  <c r="E9" i="1" s="1"/>
  <c r="F9" i="1" a="1"/>
  <c r="F9" i="1"/>
  <c r="G9" i="1" a="1"/>
  <c r="G9" i="1" s="1"/>
  <c r="H9" i="1" a="1"/>
  <c r="H9" i="1" s="1"/>
  <c r="I9" i="1" a="1"/>
  <c r="I9" i="1" s="1"/>
  <c r="J9" i="1" a="1"/>
  <c r="J9" i="1" s="1"/>
  <c r="K9" i="1" a="1"/>
  <c r="K9" i="1" s="1"/>
  <c r="L9" i="1" a="1"/>
  <c r="L9" i="1" s="1"/>
  <c r="M9" i="1" a="1"/>
  <c r="M9" i="1" s="1"/>
  <c r="N9" i="1" a="1"/>
  <c r="N9" i="1" s="1"/>
  <c r="O9" i="1" a="1"/>
  <c r="O9" i="1" s="1"/>
  <c r="P9" i="1" a="1"/>
  <c r="P9" i="1" s="1"/>
  <c r="Q9" i="1" a="1"/>
  <c r="Q9" i="1" s="1"/>
  <c r="R9" i="1" a="1"/>
  <c r="R9" i="1" s="1"/>
  <c r="S9" i="1" a="1"/>
  <c r="S9" i="1" s="1"/>
  <c r="T9" i="1" a="1"/>
  <c r="T9" i="1" s="1"/>
  <c r="U9" i="1" a="1"/>
  <c r="U9" i="1" s="1"/>
  <c r="V9" i="1" a="1"/>
  <c r="V9" i="1" s="1"/>
  <c r="W9" i="1" a="1"/>
  <c r="W9" i="1" s="1"/>
  <c r="X9" i="1" a="1"/>
  <c r="X9" i="1" s="1"/>
  <c r="Y9" i="1" a="1"/>
  <c r="Y9" i="1"/>
  <c r="Z9" i="1" a="1"/>
  <c r="Z9" i="1"/>
  <c r="AA9" i="1" a="1"/>
  <c r="AA9" i="1" s="1"/>
  <c r="AB9" i="1" a="1"/>
  <c r="AB9" i="1" s="1"/>
  <c r="AG9" i="1" a="1"/>
  <c r="AG9" i="1"/>
  <c r="AH9" i="1" a="1"/>
  <c r="AH9" i="1"/>
  <c r="AJ9" i="1" a="1"/>
  <c r="AJ9" i="1" s="1"/>
  <c r="AK9" i="1" a="1"/>
  <c r="AK9" i="1"/>
  <c r="AL9" i="1" a="1"/>
  <c r="AL9" i="1"/>
  <c r="AM9" i="1" a="1"/>
  <c r="AM9" i="1" s="1"/>
  <c r="AN9" i="1" a="1"/>
  <c r="AN9" i="1" s="1"/>
  <c r="AO9" i="1" a="1"/>
  <c r="AO9" i="1" s="1"/>
  <c r="C10" i="1" a="1"/>
  <c r="C10" i="1" s="1"/>
  <c r="D10" i="1" a="1"/>
  <c r="D10" i="1" s="1"/>
  <c r="E10" i="1" a="1"/>
  <c r="E10" i="1" s="1"/>
  <c r="F10" i="1" a="1"/>
  <c r="F10" i="1" s="1"/>
  <c r="G10" i="1" a="1"/>
  <c r="G10" i="1" s="1"/>
  <c r="H10" i="1" a="1"/>
  <c r="H10" i="1" s="1"/>
  <c r="I10" i="1" a="1"/>
  <c r="I10" i="1" s="1"/>
  <c r="J10" i="1" a="1"/>
  <c r="J10" i="1" s="1"/>
  <c r="K10" i="1" a="1"/>
  <c r="K10" i="1" s="1"/>
  <c r="L10" i="1" a="1"/>
  <c r="L10" i="1" s="1"/>
  <c r="M10" i="1" a="1"/>
  <c r="M10" i="1" s="1"/>
  <c r="N10" i="1" a="1"/>
  <c r="N10" i="1" s="1"/>
  <c r="O10" i="1" a="1"/>
  <c r="O10" i="1" s="1"/>
  <c r="P10" i="1" a="1"/>
  <c r="P10" i="1" s="1"/>
  <c r="Q10" i="1" a="1"/>
  <c r="Q10" i="1" s="1"/>
  <c r="R10" i="1" a="1"/>
  <c r="R10" i="1" s="1"/>
  <c r="S10" i="1" a="1"/>
  <c r="S10" i="1" s="1"/>
  <c r="T10" i="1" a="1"/>
  <c r="T10" i="1" s="1"/>
  <c r="U10" i="1" a="1"/>
  <c r="U10" i="1" s="1"/>
  <c r="V10" i="1" a="1"/>
  <c r="V10" i="1" s="1"/>
  <c r="W10" i="1" a="1"/>
  <c r="W10" i="1" s="1"/>
  <c r="X10" i="1" a="1"/>
  <c r="X10" i="1" s="1"/>
  <c r="Y10" i="1" a="1"/>
  <c r="Y10" i="1"/>
  <c r="Z10" i="1" a="1"/>
  <c r="Z10" i="1"/>
  <c r="AA10" i="1" a="1"/>
  <c r="AA10" i="1" s="1"/>
  <c r="AB10" i="1" a="1"/>
  <c r="AB10" i="1" s="1"/>
  <c r="AG10" i="1" a="1"/>
  <c r="AG10" i="1"/>
  <c r="AH10" i="1" a="1"/>
  <c r="AH10" i="1"/>
  <c r="AJ10" i="1" a="1"/>
  <c r="AJ10" i="1" s="1"/>
  <c r="AK10" i="1" a="1"/>
  <c r="AK10" i="1"/>
  <c r="AL10" i="1" a="1"/>
  <c r="AL10" i="1"/>
  <c r="AM10" i="1" a="1"/>
  <c r="AM10" i="1" s="1"/>
  <c r="AN10" i="1" a="1"/>
  <c r="AN10" i="1" s="1"/>
  <c r="AO10" i="1" a="1"/>
  <c r="AO10" i="1" s="1"/>
  <c r="C11" i="1" a="1"/>
  <c r="C11" i="1" s="1"/>
  <c r="D11" i="1" a="1"/>
  <c r="D11" i="1"/>
  <c r="E11" i="1" a="1"/>
  <c r="E11" i="1" s="1"/>
  <c r="F11" i="1" a="1"/>
  <c r="F11" i="1" s="1"/>
  <c r="G11" i="1" a="1"/>
  <c r="G11" i="1" s="1"/>
  <c r="H11" i="1" a="1"/>
  <c r="H11" i="1"/>
  <c r="I11" i="1" a="1"/>
  <c r="I11" i="1"/>
  <c r="J11" i="1" a="1"/>
  <c r="J11" i="1"/>
  <c r="K11" i="1" a="1"/>
  <c r="K11" i="1"/>
  <c r="L11" i="1" a="1"/>
  <c r="L11" i="1"/>
  <c r="M11" i="1" a="1"/>
  <c r="M11" i="1" s="1"/>
  <c r="N11" i="1" a="1"/>
  <c r="N11" i="1"/>
  <c r="O11" i="1" a="1"/>
  <c r="O11" i="1"/>
  <c r="P11" i="1" a="1"/>
  <c r="P11" i="1"/>
  <c r="Q11" i="1" a="1"/>
  <c r="Q11" i="1" s="1"/>
  <c r="R11" i="1" a="1"/>
  <c r="R11" i="1" s="1"/>
  <c r="S11" i="1" a="1"/>
  <c r="S11" i="1"/>
  <c r="T11" i="1" a="1"/>
  <c r="T11" i="1" s="1"/>
  <c r="U11" i="1" a="1"/>
  <c r="U11" i="1"/>
  <c r="V11" i="1" a="1"/>
  <c r="V11" i="1"/>
  <c r="W11" i="1" a="1"/>
  <c r="W11" i="1" s="1"/>
  <c r="X11" i="1" a="1"/>
  <c r="X11" i="1" s="1"/>
  <c r="Y11" i="1" a="1"/>
  <c r="Y11" i="1"/>
  <c r="Z11" i="1" a="1"/>
  <c r="Z11" i="1" s="1"/>
  <c r="AA11" i="1" a="1"/>
  <c r="AA11" i="1"/>
  <c r="AB11" i="1" a="1"/>
  <c r="AB11" i="1"/>
  <c r="AG11" i="1" a="1"/>
  <c r="AG11" i="1"/>
  <c r="AH11" i="1" a="1"/>
  <c r="AH11" i="1"/>
  <c r="AJ11" i="1" a="1"/>
  <c r="AJ11" i="1" s="1"/>
  <c r="AK11" i="1" a="1"/>
  <c r="AK11" i="1"/>
  <c r="AL11" i="1" a="1"/>
  <c r="AL11" i="1"/>
  <c r="AM11" i="1" a="1"/>
  <c r="AM11" i="1" s="1"/>
  <c r="AN11" i="1" a="1"/>
  <c r="AN11" i="1" s="1"/>
  <c r="AO11" i="1" a="1"/>
  <c r="AO11" i="1" s="1"/>
  <c r="C12" i="1" a="1"/>
  <c r="C12" i="1" s="1"/>
  <c r="D12" i="1" a="1"/>
  <c r="D12" i="1" s="1"/>
  <c r="E12" i="1" a="1"/>
  <c r="E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/>
  <c r="Z12" i="1" a="1"/>
  <c r="Z12" i="1" s="1"/>
  <c r="AA12" i="1" a="1"/>
  <c r="AA12" i="1" s="1"/>
  <c r="AB12" i="1" a="1"/>
  <c r="AB12" i="1" s="1"/>
  <c r="AG12" i="1" a="1"/>
  <c r="AG12" i="1"/>
  <c r="AH12" i="1" a="1"/>
  <c r="AH12" i="1"/>
  <c r="AJ12" i="1" a="1"/>
  <c r="AJ12" i="1" s="1"/>
  <c r="AK12" i="1" a="1"/>
  <c r="AK12" i="1"/>
  <c r="AL12" i="1" a="1"/>
  <c r="AL12" i="1"/>
  <c r="AM12" i="1" a="1"/>
  <c r="AM12" i="1" s="1"/>
  <c r="AN12" i="1" a="1"/>
  <c r="AN12" i="1" s="1"/>
  <c r="AO12" i="1" a="1"/>
  <c r="AO12" i="1" s="1"/>
  <c r="C13" i="1" a="1"/>
  <c r="C13" i="1"/>
  <c r="D13" i="1" a="1"/>
  <c r="D13" i="1" s="1"/>
  <c r="E13" i="1" a="1"/>
  <c r="E13" i="1"/>
  <c r="F13" i="1" a="1"/>
  <c r="F13" i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/>
  <c r="Z13" i="1" a="1"/>
  <c r="Z13" i="1" s="1"/>
  <c r="AA13" i="1" a="1"/>
  <c r="AA13" i="1" s="1"/>
  <c r="AB13" i="1" a="1"/>
  <c r="AB13" i="1" s="1"/>
  <c r="AG13" i="1" a="1"/>
  <c r="AG13" i="1"/>
  <c r="AH13" i="1" a="1"/>
  <c r="AH13" i="1"/>
  <c r="AJ13" i="1" a="1"/>
  <c r="AJ13" i="1" s="1"/>
  <c r="AK13" i="1" a="1"/>
  <c r="AK13" i="1"/>
  <c r="AL13" i="1" a="1"/>
  <c r="AL13" i="1"/>
  <c r="AM13" i="1" a="1"/>
  <c r="AM13" i="1" s="1"/>
  <c r="AN13" i="1" a="1"/>
  <c r="AN13" i="1" s="1"/>
  <c r="AO13" i="1" a="1"/>
  <c r="AO13" i="1" s="1"/>
  <c r="C14" i="1" a="1"/>
  <c r="C14" i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/>
  <c r="Z14" i="1" a="1"/>
  <c r="Z14" i="1" s="1"/>
  <c r="AA14" i="1" a="1"/>
  <c r="AA14" i="1" s="1"/>
  <c r="AB14" i="1" a="1"/>
  <c r="AB14" i="1" s="1"/>
  <c r="AG14" i="1" a="1"/>
  <c r="AG14" i="1"/>
  <c r="AH14" i="1" a="1"/>
  <c r="AH14" i="1"/>
  <c r="AJ14" i="1" a="1"/>
  <c r="AJ14" i="1" s="1"/>
  <c r="AK14" i="1" a="1"/>
  <c r="AK14" i="1"/>
  <c r="AL14" i="1" a="1"/>
  <c r="AL14" i="1"/>
  <c r="AM14" i="1" a="1"/>
  <c r="AM14" i="1" s="1"/>
  <c r="AN14" i="1" a="1"/>
  <c r="AN14" i="1" s="1"/>
  <c r="AO14" i="1" a="1"/>
  <c r="AO14" i="1" s="1"/>
  <c r="C15" i="1" a="1"/>
  <c r="C15" i="1" s="1"/>
  <c r="D15" i="1" a="1"/>
  <c r="D15" i="1" s="1"/>
  <c r="E15" i="1" a="1"/>
  <c r="E15" i="1" s="1"/>
  <c r="F15" i="1" a="1"/>
  <c r="F15" i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/>
  <c r="Z15" i="1" a="1"/>
  <c r="Z15" i="1"/>
  <c r="AA15" i="1" a="1"/>
  <c r="AA15" i="1" s="1"/>
  <c r="AB15" i="1" a="1"/>
  <c r="AB15" i="1" s="1"/>
  <c r="AG15" i="1" a="1"/>
  <c r="AG15" i="1"/>
  <c r="AH15" i="1" a="1"/>
  <c r="AH15" i="1"/>
  <c r="AJ15" i="1" a="1"/>
  <c r="AJ15" i="1" s="1"/>
  <c r="AK15" i="1" a="1"/>
  <c r="AK15" i="1"/>
  <c r="AL15" i="1" a="1"/>
  <c r="AL15" i="1"/>
  <c r="AM15" i="1" a="1"/>
  <c r="AM15" i="1" s="1"/>
  <c r="AN15" i="1" a="1"/>
  <c r="AN15" i="1" s="1"/>
  <c r="AO15" i="1" a="1"/>
  <c r="AO15" i="1" s="1"/>
  <c r="C16" i="1" a="1"/>
  <c r="C16" i="1"/>
  <c r="D16" i="1" a="1"/>
  <c r="D16" i="1" s="1"/>
  <c r="E16" i="1" a="1"/>
  <c r="E16" i="1" s="1"/>
  <c r="F16" i="1" a="1"/>
  <c r="F16" i="1" s="1"/>
  <c r="G16" i="1" a="1"/>
  <c r="G16" i="1" s="1"/>
  <c r="H16" i="1" a="1"/>
  <c r="H16" i="1" s="1"/>
  <c r="I16" i="1" a="1"/>
  <c r="I16" i="1" s="1"/>
  <c r="J16" i="1" a="1"/>
  <c r="J16" i="1" s="1"/>
  <c r="K16" i="1" a="1"/>
  <c r="K16" i="1" s="1"/>
  <c r="L16" i="1" a="1"/>
  <c r="L16" i="1" s="1"/>
  <c r="M16" i="1" a="1"/>
  <c r="M16" i="1" s="1"/>
  <c r="N16" i="1" a="1"/>
  <c r="N16" i="1" s="1"/>
  <c r="O16" i="1" a="1"/>
  <c r="O16" i="1" s="1"/>
  <c r="P16" i="1" a="1"/>
  <c r="P16" i="1" s="1"/>
  <c r="Q16" i="1" a="1"/>
  <c r="Q16" i="1" s="1"/>
  <c r="R16" i="1" a="1"/>
  <c r="R16" i="1" s="1"/>
  <c r="S16" i="1" a="1"/>
  <c r="S16" i="1" s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Y16" i="1" a="1"/>
  <c r="Y16" i="1"/>
  <c r="Z16" i="1" a="1"/>
  <c r="Z16" i="1" s="1"/>
  <c r="AA16" i="1" a="1"/>
  <c r="AA16" i="1" s="1"/>
  <c r="AB16" i="1" a="1"/>
  <c r="AB16" i="1" s="1"/>
  <c r="AG16" i="1" a="1"/>
  <c r="AG16" i="1"/>
  <c r="AH16" i="1" a="1"/>
  <c r="AH16" i="1"/>
  <c r="AJ16" i="1" a="1"/>
  <c r="AJ16" i="1" s="1"/>
  <c r="AK16" i="1" a="1"/>
  <c r="AK16" i="1"/>
  <c r="AL16" i="1" a="1"/>
  <c r="AL16" i="1"/>
  <c r="AM16" i="1" a="1"/>
  <c r="AM16" i="1" s="1"/>
  <c r="AN16" i="1" a="1"/>
  <c r="AN16" i="1" s="1"/>
  <c r="AO16" i="1" a="1"/>
  <c r="AO16" i="1" s="1"/>
  <c r="C17" i="1" a="1"/>
  <c r="C17" i="1" s="1"/>
  <c r="D17" i="1" a="1"/>
  <c r="D17" i="1" s="1"/>
  <c r="E17" i="1" a="1"/>
  <c r="E17" i="1" s="1"/>
  <c r="F17" i="1" a="1"/>
  <c r="F17" i="1"/>
  <c r="G17" i="1" a="1"/>
  <c r="G17" i="1" s="1"/>
  <c r="H17" i="1" a="1"/>
  <c r="H17" i="1"/>
  <c r="I17" i="1" a="1"/>
  <c r="I17" i="1"/>
  <c r="J17" i="1" a="1"/>
  <c r="J17" i="1" s="1"/>
  <c r="K17" i="1" a="1"/>
  <c r="K17" i="1"/>
  <c r="L17" i="1" a="1"/>
  <c r="L17" i="1"/>
  <c r="M17" i="1" a="1"/>
  <c r="M17" i="1" s="1"/>
  <c r="N17" i="1" a="1"/>
  <c r="N17" i="1"/>
  <c r="O17" i="1" a="1"/>
  <c r="O17" i="1"/>
  <c r="P17" i="1" a="1"/>
  <c r="P17" i="1"/>
  <c r="Q17" i="1" a="1"/>
  <c r="Q17" i="1" s="1"/>
  <c r="R17" i="1" a="1"/>
  <c r="R17" i="1"/>
  <c r="S17" i="1" a="1"/>
  <c r="S17" i="1"/>
  <c r="T17" i="1" a="1"/>
  <c r="T17" i="1" s="1"/>
  <c r="U17" i="1" a="1"/>
  <c r="U17" i="1"/>
  <c r="V17" i="1" a="1"/>
  <c r="V17" i="1" s="1"/>
  <c r="W17" i="1" a="1"/>
  <c r="W17" i="1" s="1"/>
  <c r="X17" i="1" a="1"/>
  <c r="X17" i="1"/>
  <c r="Y17" i="1" a="1"/>
  <c r="Y17" i="1"/>
  <c r="Z17" i="1" a="1"/>
  <c r="Z17" i="1" s="1"/>
  <c r="AA17" i="1" a="1"/>
  <c r="AA17" i="1"/>
  <c r="AB17" i="1" a="1"/>
  <c r="AB17" i="1" s="1"/>
  <c r="AG17" i="1" a="1"/>
  <c r="AG17" i="1"/>
  <c r="AH17" i="1" a="1"/>
  <c r="AH17" i="1"/>
  <c r="AJ17" i="1" a="1"/>
  <c r="AJ17" i="1" s="1"/>
  <c r="AK17" i="1" a="1"/>
  <c r="AK17" i="1"/>
  <c r="AL17" i="1" a="1"/>
  <c r="AL17" i="1"/>
  <c r="AM17" i="1" a="1"/>
  <c r="AM17" i="1" s="1"/>
  <c r="AN17" i="1" a="1"/>
  <c r="AN17" i="1" s="1"/>
  <c r="AO17" i="1" a="1"/>
  <c r="AO17" i="1"/>
  <c r="C18" i="1" a="1"/>
  <c r="C18" i="1" s="1"/>
  <c r="D18" i="1" a="1"/>
  <c r="D18" i="1" s="1"/>
  <c r="E18" i="1" a="1"/>
  <c r="E18" i="1" s="1"/>
  <c r="F18" i="1" a="1"/>
  <c r="F18" i="1" s="1"/>
  <c r="G18" i="1" a="1"/>
  <c r="G18" i="1" s="1"/>
  <c r="H18" i="1" a="1"/>
  <c r="H18" i="1" s="1"/>
  <c r="I18" i="1" a="1"/>
  <c r="I18" i="1" s="1"/>
  <c r="J18" i="1" a="1"/>
  <c r="J18" i="1" s="1"/>
  <c r="K18" i="1" a="1"/>
  <c r="K18" i="1" s="1"/>
  <c r="L18" i="1" a="1"/>
  <c r="L18" i="1" s="1"/>
  <c r="M18" i="1" a="1"/>
  <c r="M18" i="1" s="1"/>
  <c r="N18" i="1" a="1"/>
  <c r="N18" i="1" s="1"/>
  <c r="O18" i="1" a="1"/>
  <c r="O18" i="1" s="1"/>
  <c r="P18" i="1" a="1"/>
  <c r="P18" i="1" s="1"/>
  <c r="Q18" i="1" a="1"/>
  <c r="Q18" i="1" s="1"/>
  <c r="R18" i="1" a="1"/>
  <c r="R18" i="1" s="1"/>
  <c r="S18" i="1" a="1"/>
  <c r="S18" i="1" s="1"/>
  <c r="T18" i="1" a="1"/>
  <c r="T18" i="1" s="1"/>
  <c r="U18" i="1" a="1"/>
  <c r="U18" i="1" s="1"/>
  <c r="V18" i="1" a="1"/>
  <c r="V18" i="1" s="1"/>
  <c r="W18" i="1" a="1"/>
  <c r="W18" i="1" s="1"/>
  <c r="X18" i="1" a="1"/>
  <c r="X18" i="1" s="1"/>
  <c r="Y18" i="1" a="1"/>
  <c r="Y18" i="1"/>
  <c r="Z18" i="1" a="1"/>
  <c r="Z18" i="1" s="1"/>
  <c r="AA18" i="1" a="1"/>
  <c r="AA18" i="1" s="1"/>
  <c r="AB18" i="1" a="1"/>
  <c r="AB18" i="1" s="1"/>
  <c r="AG18" i="1" a="1"/>
  <c r="AG18" i="1"/>
  <c r="AH18" i="1" a="1"/>
  <c r="AH18" i="1"/>
  <c r="AJ18" i="1" a="1"/>
  <c r="AJ18" i="1" s="1"/>
  <c r="AK18" i="1" a="1"/>
  <c r="AK18" i="1"/>
  <c r="AL18" i="1" a="1"/>
  <c r="AL18" i="1"/>
  <c r="AM18" i="1" a="1"/>
  <c r="AM18" i="1" s="1"/>
  <c r="AN18" i="1" a="1"/>
  <c r="AN18" i="1" s="1"/>
  <c r="AO18" i="1" a="1"/>
  <c r="AO18" i="1" s="1"/>
  <c r="C19" i="1" a="1"/>
  <c r="C19" i="1"/>
  <c r="D19" i="1" a="1"/>
  <c r="D19" i="1"/>
  <c r="E19" i="1" a="1"/>
  <c r="E19" i="1" s="1"/>
  <c r="F19" i="1" a="1"/>
  <c r="F19" i="1" s="1"/>
  <c r="G19" i="1" a="1"/>
  <c r="G19" i="1" s="1"/>
  <c r="H19" i="1" a="1"/>
  <c r="H19" i="1" s="1"/>
  <c r="I19" i="1" a="1"/>
  <c r="I19" i="1" s="1"/>
  <c r="J19" i="1" a="1"/>
  <c r="J19" i="1" s="1"/>
  <c r="K19" i="1" a="1"/>
  <c r="K19" i="1" s="1"/>
  <c r="L19" i="1" a="1"/>
  <c r="L19" i="1" s="1"/>
  <c r="M19" i="1" a="1"/>
  <c r="M19" i="1" s="1"/>
  <c r="N19" i="1" a="1"/>
  <c r="N19" i="1" s="1"/>
  <c r="O19" i="1" a="1"/>
  <c r="O19" i="1" s="1"/>
  <c r="P19" i="1" a="1"/>
  <c r="P19" i="1" s="1"/>
  <c r="Q19" i="1" a="1"/>
  <c r="Q19" i="1" s="1"/>
  <c r="R19" i="1" a="1"/>
  <c r="R19" i="1" s="1"/>
  <c r="S19" i="1" a="1"/>
  <c r="S19" i="1" s="1"/>
  <c r="T19" i="1" a="1"/>
  <c r="T19" i="1" s="1"/>
  <c r="U19" i="1" a="1"/>
  <c r="U19" i="1" s="1"/>
  <c r="V19" i="1" a="1"/>
  <c r="V19" i="1" s="1"/>
  <c r="W19" i="1" a="1"/>
  <c r="W19" i="1" s="1"/>
  <c r="X19" i="1" a="1"/>
  <c r="X19" i="1" s="1"/>
  <c r="Y19" i="1" a="1"/>
  <c r="Y19" i="1"/>
  <c r="Z19" i="1" a="1"/>
  <c r="Z19" i="1" s="1"/>
  <c r="AA19" i="1" a="1"/>
  <c r="AA19" i="1" s="1"/>
  <c r="AB19" i="1" a="1"/>
  <c r="AB19" i="1" s="1"/>
  <c r="AG19" i="1" a="1"/>
  <c r="AG19" i="1"/>
  <c r="AH19" i="1" a="1"/>
  <c r="AH19" i="1"/>
  <c r="AJ19" i="1" a="1"/>
  <c r="AJ19" i="1" s="1"/>
  <c r="AK19" i="1" a="1"/>
  <c r="AK19" i="1"/>
  <c r="AL19" i="1" a="1"/>
  <c r="AL19" i="1"/>
  <c r="AM19" i="1" a="1"/>
  <c r="AM19" i="1" s="1"/>
  <c r="AN19" i="1" a="1"/>
  <c r="AN19" i="1" s="1"/>
  <c r="AO19" i="1" a="1"/>
  <c r="AO19" i="1" s="1"/>
  <c r="C20" i="1" a="1"/>
  <c r="C20" i="1" s="1"/>
  <c r="D20" i="1" a="1"/>
  <c r="D20" i="1"/>
  <c r="E20" i="1" a="1"/>
  <c r="E20" i="1" s="1"/>
  <c r="F20" i="1" a="1"/>
  <c r="F20" i="1"/>
  <c r="G20" i="1" a="1"/>
  <c r="G20" i="1" s="1"/>
  <c r="H20" i="1" a="1"/>
  <c r="H20" i="1"/>
  <c r="I20" i="1" a="1"/>
  <c r="I20" i="1"/>
  <c r="J20" i="1" a="1"/>
  <c r="J20" i="1"/>
  <c r="K20" i="1" a="1"/>
  <c r="K20" i="1"/>
  <c r="L20" i="1" a="1"/>
  <c r="L20" i="1"/>
  <c r="M20" i="1" a="1"/>
  <c r="M20" i="1" s="1"/>
  <c r="N20" i="1" a="1"/>
  <c r="N20" i="1"/>
  <c r="O20" i="1" a="1"/>
  <c r="O20" i="1"/>
  <c r="P20" i="1" a="1"/>
  <c r="P20" i="1"/>
  <c r="Q20" i="1" a="1"/>
  <c r="Q20" i="1" s="1"/>
  <c r="R20" i="1" a="1"/>
  <c r="R20" i="1"/>
  <c r="S20" i="1" a="1"/>
  <c r="S20" i="1"/>
  <c r="T20" i="1" a="1"/>
  <c r="T20" i="1" s="1"/>
  <c r="U20" i="1" a="1"/>
  <c r="U20" i="1"/>
  <c r="V20" i="1" a="1"/>
  <c r="V20" i="1"/>
  <c r="W20" i="1" a="1"/>
  <c r="W20" i="1" s="1"/>
  <c r="X20" i="1" a="1"/>
  <c r="X20" i="1" s="1"/>
  <c r="Y20" i="1" a="1"/>
  <c r="Y20" i="1"/>
  <c r="Z20" i="1" a="1"/>
  <c r="Z20" i="1" s="1"/>
  <c r="AA20" i="1" a="1"/>
  <c r="AA20" i="1"/>
  <c r="AB20" i="1" a="1"/>
  <c r="AB20" i="1"/>
  <c r="AG20" i="1" a="1"/>
  <c r="AG20" i="1"/>
  <c r="AH20" i="1" a="1"/>
  <c r="AH20" i="1"/>
  <c r="AJ20" i="1" a="1"/>
  <c r="AJ20" i="1" s="1"/>
  <c r="AK20" i="1" a="1"/>
  <c r="AK20" i="1"/>
  <c r="AL20" i="1" a="1"/>
  <c r="AL20" i="1"/>
  <c r="AM20" i="1" a="1"/>
  <c r="AM20" i="1"/>
  <c r="AN20" i="1" a="1"/>
  <c r="AN20" i="1" s="1"/>
  <c r="AO20" i="1" a="1"/>
  <c r="AO20" i="1" s="1"/>
  <c r="C21" i="1" a="1"/>
  <c r="C21" i="1" s="1"/>
  <c r="D21" i="1" a="1"/>
  <c r="D21" i="1" s="1"/>
  <c r="E21" i="1" a="1"/>
  <c r="E21" i="1" s="1"/>
  <c r="F21" i="1" a="1"/>
  <c r="F21" i="1"/>
  <c r="G21" i="1" a="1"/>
  <c r="G21" i="1" s="1"/>
  <c r="H21" i="1" a="1"/>
  <c r="H21" i="1" s="1"/>
  <c r="I21" i="1" a="1"/>
  <c r="I21" i="1" s="1"/>
  <c r="J21" i="1" a="1"/>
  <c r="J21" i="1" s="1"/>
  <c r="K21" i="1" a="1"/>
  <c r="K21" i="1" s="1"/>
  <c r="L21" i="1" a="1"/>
  <c r="L21" i="1" s="1"/>
  <c r="M21" i="1" a="1"/>
  <c r="M21" i="1" s="1"/>
  <c r="N21" i="1" a="1"/>
  <c r="N21" i="1" s="1"/>
  <c r="O21" i="1" a="1"/>
  <c r="O21" i="1" s="1"/>
  <c r="P21" i="1" a="1"/>
  <c r="P21" i="1" s="1"/>
  <c r="Q21" i="1" a="1"/>
  <c r="Q21" i="1" s="1"/>
  <c r="R21" i="1" a="1"/>
  <c r="R21" i="1" s="1"/>
  <c r="S21" i="1" a="1"/>
  <c r="S21" i="1" s="1"/>
  <c r="T21" i="1" a="1"/>
  <c r="T21" i="1" s="1"/>
  <c r="U21" i="1" a="1"/>
  <c r="U21" i="1" s="1"/>
  <c r="V21" i="1" a="1"/>
  <c r="V21" i="1" s="1"/>
  <c r="W21" i="1" a="1"/>
  <c r="W21" i="1" s="1"/>
  <c r="X21" i="1" a="1"/>
  <c r="X21" i="1" s="1"/>
  <c r="Y21" i="1" a="1"/>
  <c r="Y21" i="1"/>
  <c r="Z21" i="1" a="1"/>
  <c r="Z21" i="1" s="1"/>
  <c r="AA21" i="1" a="1"/>
  <c r="AA21" i="1" s="1"/>
  <c r="AB21" i="1" a="1"/>
  <c r="AB21" i="1" s="1"/>
  <c r="AG21" i="1" a="1"/>
  <c r="AG21" i="1"/>
  <c r="AH21" i="1" a="1"/>
  <c r="AH21" i="1"/>
  <c r="AJ21" i="1" a="1"/>
  <c r="AJ21" i="1" s="1"/>
  <c r="AK21" i="1" a="1"/>
  <c r="AK21" i="1"/>
  <c r="AL21" i="1" a="1"/>
  <c r="AL21" i="1"/>
  <c r="AM21" i="1" a="1"/>
  <c r="AM21" i="1" s="1"/>
  <c r="AN21" i="1" a="1"/>
  <c r="AN21" i="1" s="1"/>
  <c r="AO21" i="1" a="1"/>
  <c r="AO21" i="1" s="1"/>
  <c r="C22" i="1" a="1"/>
  <c r="C22" i="1"/>
  <c r="D22" i="1" a="1"/>
  <c r="D22" i="1"/>
  <c r="E22" i="1" a="1"/>
  <c r="E22" i="1"/>
  <c r="F22" i="1" a="1"/>
  <c r="F22" i="1"/>
  <c r="G22" i="1" a="1"/>
  <c r="G22" i="1" s="1"/>
  <c r="H22" i="1" a="1"/>
  <c r="H22" i="1" s="1"/>
  <c r="I22" i="1" a="1"/>
  <c r="I22" i="1"/>
  <c r="J22" i="1" a="1"/>
  <c r="J22" i="1"/>
  <c r="K22" i="1" a="1"/>
  <c r="K22" i="1"/>
  <c r="L22" i="1" a="1"/>
  <c r="L22" i="1"/>
  <c r="M22" i="1" a="1"/>
  <c r="M22" i="1" s="1"/>
  <c r="N22" i="1" a="1"/>
  <c r="N22" i="1" s="1"/>
  <c r="O22" i="1" a="1"/>
  <c r="O22" i="1"/>
  <c r="P22" i="1" a="1"/>
  <c r="P22" i="1"/>
  <c r="Q22" i="1" a="1"/>
  <c r="Q22" i="1" s="1"/>
  <c r="R22" i="1" a="1"/>
  <c r="R22" i="1"/>
  <c r="S22" i="1" a="1"/>
  <c r="S22" i="1"/>
  <c r="T22" i="1" a="1"/>
  <c r="T22" i="1" s="1"/>
  <c r="U22" i="1" a="1"/>
  <c r="U22" i="1"/>
  <c r="V22" i="1" a="1"/>
  <c r="V22" i="1"/>
  <c r="W22" i="1" a="1"/>
  <c r="W22" i="1" s="1"/>
  <c r="X22" i="1" a="1"/>
  <c r="X22" i="1" s="1"/>
  <c r="Y22" i="1" a="1"/>
  <c r="Y22" i="1"/>
  <c r="Z22" i="1" a="1"/>
  <c r="Z22" i="1"/>
  <c r="AA22" i="1" a="1"/>
  <c r="AA22" i="1" s="1"/>
  <c r="AB22" i="1" a="1"/>
  <c r="AB22" i="1"/>
  <c r="AG22" i="1" a="1"/>
  <c r="AG22" i="1"/>
  <c r="AH22" i="1" a="1"/>
  <c r="AH22" i="1"/>
  <c r="AJ22" i="1" a="1"/>
  <c r="AJ22" i="1" s="1"/>
  <c r="AK22" i="1" a="1"/>
  <c r="AK22" i="1"/>
  <c r="AL22" i="1" a="1"/>
  <c r="AL22" i="1"/>
  <c r="AM22" i="1" a="1"/>
  <c r="AM22" i="1" s="1"/>
  <c r="AN22" i="1" a="1"/>
  <c r="AN22" i="1" s="1"/>
  <c r="AO22" i="1" a="1"/>
  <c r="AO22" i="1" s="1"/>
  <c r="C23" i="1" a="1"/>
  <c r="C23" i="1" s="1"/>
  <c r="D23" i="1" a="1"/>
  <c r="D23" i="1" s="1"/>
  <c r="E23" i="1" a="1"/>
  <c r="E23" i="1" s="1"/>
  <c r="F23" i="1" a="1"/>
  <c r="F23" i="1" s="1"/>
  <c r="G23" i="1" a="1"/>
  <c r="G23" i="1" s="1"/>
  <c r="H23" i="1" a="1"/>
  <c r="H23" i="1" s="1"/>
  <c r="I23" i="1" a="1"/>
  <c r="I23" i="1" s="1"/>
  <c r="J23" i="1" a="1"/>
  <c r="J23" i="1" s="1"/>
  <c r="K23" i="1" a="1"/>
  <c r="K23" i="1" s="1"/>
  <c r="L23" i="1" a="1"/>
  <c r="L23" i="1" s="1"/>
  <c r="M23" i="1" a="1"/>
  <c r="M23" i="1" s="1"/>
  <c r="N23" i="1" a="1"/>
  <c r="N23" i="1" s="1"/>
  <c r="O23" i="1" a="1"/>
  <c r="O23" i="1" s="1"/>
  <c r="P23" i="1" a="1"/>
  <c r="P23" i="1" s="1"/>
  <c r="Q23" i="1" a="1"/>
  <c r="Q23" i="1" s="1"/>
  <c r="R23" i="1" a="1"/>
  <c r="R23" i="1" s="1"/>
  <c r="S23" i="1" a="1"/>
  <c r="S23" i="1" s="1"/>
  <c r="T23" i="1" a="1"/>
  <c r="T23" i="1" s="1"/>
  <c r="U23" i="1" a="1"/>
  <c r="U23" i="1" s="1"/>
  <c r="V23" i="1" a="1"/>
  <c r="V23" i="1" s="1"/>
  <c r="W23" i="1" a="1"/>
  <c r="W23" i="1" s="1"/>
  <c r="X23" i="1" a="1"/>
  <c r="X23" i="1" s="1"/>
  <c r="Y23" i="1" a="1"/>
  <c r="Y23" i="1"/>
  <c r="Z23" i="1" a="1"/>
  <c r="Z23" i="1" s="1"/>
  <c r="AA23" i="1" a="1"/>
  <c r="AA23" i="1" s="1"/>
  <c r="AB23" i="1" a="1"/>
  <c r="AB23" i="1" s="1"/>
  <c r="AG23" i="1" a="1"/>
  <c r="AG23" i="1"/>
  <c r="AH23" i="1" a="1"/>
  <c r="AH23" i="1"/>
  <c r="AJ23" i="1" a="1"/>
  <c r="AJ23" i="1" s="1"/>
  <c r="AK23" i="1" a="1"/>
  <c r="AK23" i="1"/>
  <c r="AL23" i="1" a="1"/>
  <c r="AL23" i="1"/>
  <c r="AM23" i="1" a="1"/>
  <c r="AM23" i="1" s="1"/>
  <c r="AN23" i="1" a="1"/>
  <c r="AN23" i="1" s="1"/>
  <c r="AO23" i="1" a="1"/>
  <c r="AO23" i="1" s="1"/>
  <c r="C24" i="1" a="1"/>
  <c r="C24" i="1"/>
  <c r="D24" i="1" a="1"/>
  <c r="D24" i="1"/>
  <c r="E24" i="1" a="1"/>
  <c r="E24" i="1" s="1"/>
  <c r="F24" i="1" a="1"/>
  <c r="F24" i="1" s="1"/>
  <c r="G24" i="1" a="1"/>
  <c r="G24" i="1" s="1"/>
  <c r="H24" i="1" a="1"/>
  <c r="H24" i="1" s="1"/>
  <c r="I24" i="1" a="1"/>
  <c r="I24" i="1" s="1"/>
  <c r="J24" i="1" a="1"/>
  <c r="J24" i="1" s="1"/>
  <c r="K24" i="1" a="1"/>
  <c r="K24" i="1" s="1"/>
  <c r="L24" i="1" a="1"/>
  <c r="L24" i="1" s="1"/>
  <c r="M24" i="1" a="1"/>
  <c r="M24" i="1" s="1"/>
  <c r="N24" i="1" a="1"/>
  <c r="N24" i="1" s="1"/>
  <c r="O24" i="1" a="1"/>
  <c r="O24" i="1" s="1"/>
  <c r="P24" i="1" a="1"/>
  <c r="P24" i="1" s="1"/>
  <c r="Q24" i="1" a="1"/>
  <c r="Q24" i="1" s="1"/>
  <c r="R24" i="1" a="1"/>
  <c r="R24" i="1" s="1"/>
  <c r="S24" i="1" a="1"/>
  <c r="S24" i="1" s="1"/>
  <c r="T24" i="1" a="1"/>
  <c r="T24" i="1" s="1"/>
  <c r="U24" i="1" a="1"/>
  <c r="U24" i="1" s="1"/>
  <c r="V24" i="1" a="1"/>
  <c r="V24" i="1" s="1"/>
  <c r="W24" i="1" a="1"/>
  <c r="W24" i="1" s="1"/>
  <c r="X24" i="1" a="1"/>
  <c r="X24" i="1" s="1"/>
  <c r="Y24" i="1" a="1"/>
  <c r="Y24" i="1"/>
  <c r="Z24" i="1" a="1"/>
  <c r="Z24" i="1"/>
  <c r="AA24" i="1" a="1"/>
  <c r="AA24" i="1" s="1"/>
  <c r="AB24" i="1" a="1"/>
  <c r="AB24" i="1" s="1"/>
  <c r="AG24" i="1" a="1"/>
  <c r="AG24" i="1"/>
  <c r="AH24" i="1" a="1"/>
  <c r="AH24" i="1"/>
  <c r="AJ24" i="1" a="1"/>
  <c r="AJ24" i="1" s="1"/>
  <c r="AK24" i="1" a="1"/>
  <c r="AK24" i="1"/>
  <c r="AL24" i="1" a="1"/>
  <c r="AL24" i="1"/>
  <c r="AM24" i="1" a="1"/>
  <c r="AM24" i="1" s="1"/>
  <c r="AN24" i="1" a="1"/>
  <c r="AN24" i="1" s="1"/>
  <c r="AO24" i="1" a="1"/>
  <c r="AO24" i="1" s="1"/>
  <c r="C25" i="1" a="1"/>
  <c r="C25" i="1"/>
  <c r="D25" i="1" a="1"/>
  <c r="D25" i="1"/>
  <c r="E25" i="1" a="1"/>
  <c r="E25" i="1" s="1"/>
  <c r="F25" i="1" a="1"/>
  <c r="F25" i="1" s="1"/>
  <c r="G25" i="1" a="1"/>
  <c r="G25" i="1" s="1"/>
  <c r="H25" i="1" a="1"/>
  <c r="H25" i="1" s="1"/>
  <c r="I25" i="1" a="1"/>
  <c r="I25" i="1" s="1"/>
  <c r="J25" i="1" a="1"/>
  <c r="J25" i="1" s="1"/>
  <c r="K25" i="1" a="1"/>
  <c r="K25" i="1" s="1"/>
  <c r="L25" i="1" a="1"/>
  <c r="L25" i="1" s="1"/>
  <c r="M25" i="1" a="1"/>
  <c r="M25" i="1" s="1"/>
  <c r="N25" i="1" a="1"/>
  <c r="N25" i="1" s="1"/>
  <c r="O25" i="1" a="1"/>
  <c r="O25" i="1" s="1"/>
  <c r="P25" i="1" a="1"/>
  <c r="P25" i="1" s="1"/>
  <c r="Q25" i="1" a="1"/>
  <c r="Q25" i="1" s="1"/>
  <c r="R25" i="1" a="1"/>
  <c r="R25" i="1" s="1"/>
  <c r="S25" i="1" a="1"/>
  <c r="S25" i="1" s="1"/>
  <c r="T25" i="1" a="1"/>
  <c r="T25" i="1" s="1"/>
  <c r="U25" i="1" a="1"/>
  <c r="U25" i="1" s="1"/>
  <c r="V25" i="1" a="1"/>
  <c r="V25" i="1" s="1"/>
  <c r="W25" i="1" a="1"/>
  <c r="W25" i="1" s="1"/>
  <c r="X25" i="1" a="1"/>
  <c r="X25" i="1" s="1"/>
  <c r="Y25" i="1" a="1"/>
  <c r="Y25" i="1"/>
  <c r="Z25" i="1" a="1"/>
  <c r="Z25" i="1" s="1"/>
  <c r="AA25" i="1" a="1"/>
  <c r="AA25" i="1" s="1"/>
  <c r="AB25" i="1" a="1"/>
  <c r="AB25" i="1" s="1"/>
  <c r="AG25" i="1" a="1"/>
  <c r="AG25" i="1"/>
  <c r="AH25" i="1" a="1"/>
  <c r="AH25" i="1"/>
  <c r="AJ25" i="1" a="1"/>
  <c r="AJ25" i="1" s="1"/>
  <c r="AK25" i="1" a="1"/>
  <c r="AK25" i="1"/>
  <c r="AL25" i="1" a="1"/>
  <c r="AL25" i="1"/>
  <c r="AM25" i="1" a="1"/>
  <c r="AM25" i="1" s="1"/>
  <c r="AN25" i="1" a="1"/>
  <c r="AN25" i="1" s="1"/>
  <c r="AO25" i="1" a="1"/>
  <c r="AO25" i="1" s="1"/>
  <c r="C26" i="1" a="1"/>
  <c r="C26" i="1" s="1"/>
  <c r="D26" i="1" a="1"/>
  <c r="D26" i="1" s="1"/>
  <c r="E26" i="1" a="1"/>
  <c r="E26" i="1" s="1"/>
  <c r="F26" i="1" a="1"/>
  <c r="F26" i="1"/>
  <c r="G26" i="1" a="1"/>
  <c r="G26" i="1" s="1"/>
  <c r="H26" i="1" a="1"/>
  <c r="H26" i="1" s="1"/>
  <c r="I26" i="1" a="1"/>
  <c r="I26" i="1" s="1"/>
  <c r="J26" i="1" a="1"/>
  <c r="J26" i="1" s="1"/>
  <c r="K26" i="1" a="1"/>
  <c r="K26" i="1" s="1"/>
  <c r="L26" i="1" a="1"/>
  <c r="L26" i="1" s="1"/>
  <c r="M26" i="1" a="1"/>
  <c r="M26" i="1" s="1"/>
  <c r="N26" i="1" a="1"/>
  <c r="N26" i="1" s="1"/>
  <c r="O26" i="1" a="1"/>
  <c r="O26" i="1" s="1"/>
  <c r="P26" i="1" a="1"/>
  <c r="P26" i="1" s="1"/>
  <c r="Q26" i="1" a="1"/>
  <c r="Q26" i="1" s="1"/>
  <c r="R26" i="1" a="1"/>
  <c r="R26" i="1" s="1"/>
  <c r="S26" i="1" a="1"/>
  <c r="S26" i="1" s="1"/>
  <c r="T26" i="1" a="1"/>
  <c r="T26" i="1" s="1"/>
  <c r="U26" i="1" a="1"/>
  <c r="U26" i="1" s="1"/>
  <c r="V26" i="1" a="1"/>
  <c r="V26" i="1" s="1"/>
  <c r="W26" i="1" a="1"/>
  <c r="W26" i="1" s="1"/>
  <c r="X26" i="1" a="1"/>
  <c r="X26" i="1" s="1"/>
  <c r="Y26" i="1" a="1"/>
  <c r="Y26" i="1"/>
  <c r="Z26" i="1" a="1"/>
  <c r="Z26" i="1"/>
  <c r="AA26" i="1" a="1"/>
  <c r="AA26" i="1" s="1"/>
  <c r="AB26" i="1" a="1"/>
  <c r="AB26" i="1" s="1"/>
  <c r="AG26" i="1" a="1"/>
  <c r="AG26" i="1"/>
  <c r="AH26" i="1" a="1"/>
  <c r="AH26" i="1"/>
  <c r="AJ26" i="1" a="1"/>
  <c r="AJ26" i="1" s="1"/>
  <c r="AK26" i="1" a="1"/>
  <c r="AK26" i="1"/>
  <c r="AL26" i="1" a="1"/>
  <c r="AL26" i="1"/>
  <c r="AM26" i="1" a="1"/>
  <c r="AM26" i="1" s="1"/>
  <c r="AN26" i="1" a="1"/>
  <c r="AN26" i="1" s="1"/>
  <c r="AO26" i="1" a="1"/>
  <c r="AO26" i="1" s="1"/>
  <c r="C27" i="1" a="1"/>
  <c r="C27" i="1"/>
  <c r="D27" i="1" a="1"/>
  <c r="D27" i="1"/>
  <c r="E27" i="1" a="1"/>
  <c r="E27" i="1" s="1"/>
  <c r="F27" i="1" a="1"/>
  <c r="F27" i="1" s="1"/>
  <c r="G27" i="1" a="1"/>
  <c r="G27" i="1" s="1"/>
  <c r="H27" i="1" a="1"/>
  <c r="H27" i="1" s="1"/>
  <c r="I27" i="1" a="1"/>
  <c r="I27" i="1" s="1"/>
  <c r="J27" i="1" a="1"/>
  <c r="J27" i="1" s="1"/>
  <c r="K27" i="1" a="1"/>
  <c r="K27" i="1" s="1"/>
  <c r="L27" i="1" a="1"/>
  <c r="L27" i="1" s="1"/>
  <c r="M27" i="1" a="1"/>
  <c r="M27" i="1" s="1"/>
  <c r="N27" i="1" a="1"/>
  <c r="N27" i="1" s="1"/>
  <c r="O27" i="1" a="1"/>
  <c r="O27" i="1" s="1"/>
  <c r="P27" i="1" a="1"/>
  <c r="P27" i="1" s="1"/>
  <c r="Q27" i="1" a="1"/>
  <c r="Q27" i="1" s="1"/>
  <c r="R27" i="1" a="1"/>
  <c r="R27" i="1" s="1"/>
  <c r="S27" i="1" a="1"/>
  <c r="S27" i="1" s="1"/>
  <c r="T27" i="1" a="1"/>
  <c r="T27" i="1" s="1"/>
  <c r="U27" i="1" a="1"/>
  <c r="U27" i="1" s="1"/>
  <c r="V27" i="1" a="1"/>
  <c r="V27" i="1" s="1"/>
  <c r="W27" i="1" a="1"/>
  <c r="W27" i="1" s="1"/>
  <c r="X27" i="1" a="1"/>
  <c r="X27" i="1" s="1"/>
  <c r="Y27" i="1" a="1"/>
  <c r="Y27" i="1"/>
  <c r="Z27" i="1" a="1"/>
  <c r="Z27" i="1" s="1"/>
  <c r="AA27" i="1" a="1"/>
  <c r="AA27" i="1" s="1"/>
  <c r="AB27" i="1" a="1"/>
  <c r="AB27" i="1" s="1"/>
  <c r="AG27" i="1" a="1"/>
  <c r="AG27" i="1"/>
  <c r="AH27" i="1" a="1"/>
  <c r="AH27" i="1"/>
  <c r="AJ27" i="1" a="1"/>
  <c r="AJ27" i="1" s="1"/>
  <c r="AK27" i="1" a="1"/>
  <c r="AK27" i="1"/>
  <c r="AL27" i="1" a="1"/>
  <c r="AL27" i="1"/>
  <c r="AM27" i="1" a="1"/>
  <c r="AM27" i="1" s="1"/>
  <c r="AN27" i="1" a="1"/>
  <c r="AN27" i="1" s="1"/>
  <c r="AO27" i="1" a="1"/>
  <c r="AO27" i="1" s="1"/>
  <c r="C28" i="1" a="1"/>
  <c r="C28" i="1"/>
  <c r="D28" i="1" a="1"/>
  <c r="D28" i="1"/>
  <c r="E28" i="1" a="1"/>
  <c r="E28" i="1" s="1"/>
  <c r="F28" i="1" a="1"/>
  <c r="F28" i="1" s="1"/>
  <c r="G28" i="1" a="1"/>
  <c r="G28" i="1" s="1"/>
  <c r="H28" i="1" a="1"/>
  <c r="H28" i="1" s="1"/>
  <c r="I28" i="1" a="1"/>
  <c r="I28" i="1" s="1"/>
  <c r="J28" i="1" a="1"/>
  <c r="J28" i="1" s="1"/>
  <c r="K28" i="1" a="1"/>
  <c r="K28" i="1" s="1"/>
  <c r="L28" i="1" a="1"/>
  <c r="L28" i="1" s="1"/>
  <c r="M28" i="1" a="1"/>
  <c r="M28" i="1" s="1"/>
  <c r="N28" i="1" a="1"/>
  <c r="N28" i="1" s="1"/>
  <c r="O28" i="1" a="1"/>
  <c r="O28" i="1" s="1"/>
  <c r="P28" i="1" a="1"/>
  <c r="P28" i="1" s="1"/>
  <c r="Q28" i="1" a="1"/>
  <c r="Q28" i="1" s="1"/>
  <c r="R28" i="1" a="1"/>
  <c r="R28" i="1" s="1"/>
  <c r="S28" i="1" a="1"/>
  <c r="S28" i="1" s="1"/>
  <c r="T28" i="1" a="1"/>
  <c r="T28" i="1" s="1"/>
  <c r="U28" i="1" a="1"/>
  <c r="U28" i="1" s="1"/>
  <c r="V28" i="1" a="1"/>
  <c r="V28" i="1" s="1"/>
  <c r="W28" i="1" a="1"/>
  <c r="W28" i="1" s="1"/>
  <c r="X28" i="1" a="1"/>
  <c r="X28" i="1" s="1"/>
  <c r="Y28" i="1" a="1"/>
  <c r="Y28" i="1"/>
  <c r="Z28" i="1" a="1"/>
  <c r="Z28" i="1"/>
  <c r="AA28" i="1" a="1"/>
  <c r="AA28" i="1" s="1"/>
  <c r="AB28" i="1" a="1"/>
  <c r="AB28" i="1" s="1"/>
  <c r="AG28" i="1" a="1"/>
  <c r="AG28" i="1"/>
  <c r="AH28" i="1" a="1"/>
  <c r="AH28" i="1"/>
  <c r="AJ28" i="1" a="1"/>
  <c r="AJ28" i="1" s="1"/>
  <c r="AK28" i="1" a="1"/>
  <c r="AK28" i="1"/>
  <c r="AL28" i="1" a="1"/>
  <c r="AL28" i="1"/>
  <c r="AM28" i="1" a="1"/>
  <c r="AM28" i="1" s="1"/>
  <c r="AN28" i="1" a="1"/>
  <c r="AN28" i="1" s="1"/>
  <c r="AO28" i="1" a="1"/>
  <c r="AO28" i="1" s="1"/>
  <c r="C29" i="1" a="1"/>
  <c r="C29" i="1"/>
  <c r="D29" i="1" a="1"/>
  <c r="D29" i="1" s="1"/>
  <c r="E29" i="1" a="1"/>
  <c r="E29" i="1"/>
  <c r="F29" i="1" a="1"/>
  <c r="F29" i="1"/>
  <c r="G29" i="1" a="1"/>
  <c r="G29" i="1" s="1"/>
  <c r="H29" i="1" a="1"/>
  <c r="H29" i="1" s="1"/>
  <c r="I29" i="1" a="1"/>
  <c r="I29" i="1" s="1"/>
  <c r="J29" i="1" a="1"/>
  <c r="J29" i="1" s="1"/>
  <c r="K29" i="1" a="1"/>
  <c r="K29" i="1" s="1"/>
  <c r="L29" i="1" a="1"/>
  <c r="L29" i="1" s="1"/>
  <c r="M29" i="1" a="1"/>
  <c r="M29" i="1" s="1"/>
  <c r="N29" i="1" a="1"/>
  <c r="N29" i="1" s="1"/>
  <c r="O29" i="1" a="1"/>
  <c r="O29" i="1" s="1"/>
  <c r="P29" i="1" a="1"/>
  <c r="P29" i="1" s="1"/>
  <c r="Q29" i="1" a="1"/>
  <c r="Q29" i="1" s="1"/>
  <c r="R29" i="1" a="1"/>
  <c r="R29" i="1" s="1"/>
  <c r="S29" i="1" a="1"/>
  <c r="S29" i="1" s="1"/>
  <c r="T29" i="1" a="1"/>
  <c r="T29" i="1" s="1"/>
  <c r="U29" i="1" a="1"/>
  <c r="U29" i="1" s="1"/>
  <c r="V29" i="1" a="1"/>
  <c r="V29" i="1" s="1"/>
  <c r="W29" i="1" a="1"/>
  <c r="W29" i="1" s="1"/>
  <c r="X29" i="1" a="1"/>
  <c r="X29" i="1" s="1"/>
  <c r="Y29" i="1" a="1"/>
  <c r="Y29" i="1"/>
  <c r="Z29" i="1" a="1"/>
  <c r="Z29" i="1" s="1"/>
  <c r="AA29" i="1" a="1"/>
  <c r="AA29" i="1" s="1"/>
  <c r="AB29" i="1" a="1"/>
  <c r="AB29" i="1" s="1"/>
  <c r="AG29" i="1" a="1"/>
  <c r="AG29" i="1"/>
  <c r="AH29" i="1" a="1"/>
  <c r="AH29" i="1"/>
  <c r="AJ29" i="1" a="1"/>
  <c r="AJ29" i="1" s="1"/>
  <c r="AK29" i="1" a="1"/>
  <c r="AK29" i="1"/>
  <c r="AL29" i="1" a="1"/>
  <c r="AL29" i="1"/>
  <c r="AM29" i="1" a="1"/>
  <c r="AM29" i="1" s="1"/>
  <c r="AN29" i="1" a="1"/>
  <c r="AN29" i="1" s="1"/>
  <c r="AO29" i="1" a="1"/>
  <c r="AO29" i="1" s="1"/>
  <c r="C30" i="1" a="1"/>
  <c r="C30" i="1"/>
  <c r="D30" i="1" a="1"/>
  <c r="D30" i="1" s="1"/>
  <c r="E30" i="1" a="1"/>
  <c r="E30" i="1"/>
  <c r="F30" i="1" a="1"/>
  <c r="F30" i="1" s="1"/>
  <c r="G30" i="1" a="1"/>
  <c r="G30" i="1" s="1"/>
  <c r="H30" i="1" a="1"/>
  <c r="H30" i="1" s="1"/>
  <c r="I30" i="1" a="1"/>
  <c r="I30" i="1" s="1"/>
  <c r="J30" i="1" a="1"/>
  <c r="J30" i="1" s="1"/>
  <c r="K30" i="1" a="1"/>
  <c r="K30" i="1" s="1"/>
  <c r="L30" i="1" a="1"/>
  <c r="L30" i="1" s="1"/>
  <c r="M30" i="1" a="1"/>
  <c r="M30" i="1" s="1"/>
  <c r="N30" i="1" a="1"/>
  <c r="N30" i="1" s="1"/>
  <c r="O30" i="1" a="1"/>
  <c r="O30" i="1" s="1"/>
  <c r="P30" i="1" a="1"/>
  <c r="P30" i="1" s="1"/>
  <c r="Q30" i="1" a="1"/>
  <c r="Q30" i="1" s="1"/>
  <c r="R30" i="1" a="1"/>
  <c r="R30" i="1" s="1"/>
  <c r="S30" i="1" a="1"/>
  <c r="S30" i="1" s="1"/>
  <c r="T30" i="1" a="1"/>
  <c r="T30" i="1" s="1"/>
  <c r="U30" i="1" a="1"/>
  <c r="U30" i="1" s="1"/>
  <c r="V30" i="1" a="1"/>
  <c r="V30" i="1" s="1"/>
  <c r="W30" i="1" a="1"/>
  <c r="W30" i="1" s="1"/>
  <c r="X30" i="1" a="1"/>
  <c r="X30" i="1" s="1"/>
  <c r="Y30" i="1" a="1"/>
  <c r="Y30" i="1"/>
  <c r="Z30" i="1" a="1"/>
  <c r="Z30" i="1"/>
  <c r="AA30" i="1" a="1"/>
  <c r="AA30" i="1" s="1"/>
  <c r="AB30" i="1" a="1"/>
  <c r="AB30" i="1" s="1"/>
  <c r="AG30" i="1" a="1"/>
  <c r="AG30" i="1"/>
  <c r="AH30" i="1" a="1"/>
  <c r="AH30" i="1"/>
  <c r="AJ30" i="1" a="1"/>
  <c r="AJ30" i="1" s="1"/>
  <c r="AK30" i="1" a="1"/>
  <c r="AK30" i="1"/>
  <c r="AL30" i="1" a="1"/>
  <c r="AL30" i="1"/>
  <c r="AM30" i="1" a="1"/>
  <c r="AM30" i="1" s="1"/>
  <c r="AN30" i="1" a="1"/>
  <c r="AN30" i="1" s="1"/>
  <c r="AO30" i="1" a="1"/>
  <c r="AO30" i="1" s="1"/>
  <c r="C31" i="1" a="1"/>
  <c r="C31" i="1" s="1"/>
  <c r="D31" i="1" a="1"/>
  <c r="D31" i="1" s="1"/>
  <c r="E31" i="1" a="1"/>
  <c r="E31" i="1" s="1"/>
  <c r="F31" i="1" a="1"/>
  <c r="F31" i="1" s="1"/>
  <c r="G31" i="1" a="1"/>
  <c r="G31" i="1" s="1"/>
  <c r="H31" i="1" a="1"/>
  <c r="H31" i="1" s="1"/>
  <c r="I31" i="1" a="1"/>
  <c r="I31" i="1" s="1"/>
  <c r="J31" i="1" a="1"/>
  <c r="J31" i="1" s="1"/>
  <c r="K31" i="1" a="1"/>
  <c r="K31" i="1" s="1"/>
  <c r="L31" i="1" a="1"/>
  <c r="L31" i="1" s="1"/>
  <c r="M31" i="1" a="1"/>
  <c r="M31" i="1" s="1"/>
  <c r="N31" i="1" a="1"/>
  <c r="N31" i="1" s="1"/>
  <c r="O31" i="1" a="1"/>
  <c r="O31" i="1" s="1"/>
  <c r="P31" i="1" a="1"/>
  <c r="P31" i="1" s="1"/>
  <c r="Q31" i="1" a="1"/>
  <c r="Q31" i="1" s="1"/>
  <c r="R31" i="1" a="1"/>
  <c r="R31" i="1" s="1"/>
  <c r="S31" i="1" a="1"/>
  <c r="S31" i="1" s="1"/>
  <c r="T31" i="1" a="1"/>
  <c r="T31" i="1" s="1"/>
  <c r="U31" i="1" a="1"/>
  <c r="U31" i="1" s="1"/>
  <c r="V31" i="1" a="1"/>
  <c r="V31" i="1" s="1"/>
  <c r="W31" i="1" a="1"/>
  <c r="W31" i="1" s="1"/>
  <c r="X31" i="1" a="1"/>
  <c r="X31" i="1" s="1"/>
  <c r="Y31" i="1" a="1"/>
  <c r="Y31" i="1"/>
  <c r="Z31" i="1" a="1"/>
  <c r="Z31" i="1"/>
  <c r="AA31" i="1" a="1"/>
  <c r="AA31" i="1" s="1"/>
  <c r="AB31" i="1" a="1"/>
  <c r="AB31" i="1" s="1"/>
  <c r="AG31" i="1" a="1"/>
  <c r="AG31" i="1"/>
  <c r="AH31" i="1" a="1"/>
  <c r="AH31" i="1"/>
  <c r="AJ31" i="1" a="1"/>
  <c r="AJ31" i="1" s="1"/>
  <c r="AK31" i="1" a="1"/>
  <c r="AK31" i="1"/>
  <c r="AL31" i="1" a="1"/>
  <c r="AL31" i="1"/>
  <c r="AM31" i="1" a="1"/>
  <c r="AM31" i="1" s="1"/>
  <c r="AN31" i="1" a="1"/>
  <c r="AN31" i="1" s="1"/>
  <c r="AO31" i="1" a="1"/>
  <c r="AO31" i="1" s="1"/>
  <c r="C32" i="1" a="1"/>
  <c r="C32" i="1"/>
  <c r="D32" i="1" a="1"/>
  <c r="D32" i="1" s="1"/>
  <c r="E32" i="1" a="1"/>
  <c r="E32" i="1" s="1"/>
  <c r="F32" i="1" a="1"/>
  <c r="F32" i="1" s="1"/>
  <c r="G32" i="1" a="1"/>
  <c r="G32" i="1" s="1"/>
  <c r="H32" i="1" a="1"/>
  <c r="H32" i="1" s="1"/>
  <c r="I32" i="1" a="1"/>
  <c r="I32" i="1" s="1"/>
  <c r="J32" i="1" a="1"/>
  <c r="J32" i="1" s="1"/>
  <c r="K32" i="1" a="1"/>
  <c r="K32" i="1" s="1"/>
  <c r="L32" i="1" a="1"/>
  <c r="L32" i="1" s="1"/>
  <c r="M32" i="1" a="1"/>
  <c r="M32" i="1" s="1"/>
  <c r="N32" i="1" a="1"/>
  <c r="N32" i="1" s="1"/>
  <c r="O32" i="1" a="1"/>
  <c r="O32" i="1" s="1"/>
  <c r="P32" i="1" a="1"/>
  <c r="P32" i="1" s="1"/>
  <c r="Q32" i="1" a="1"/>
  <c r="Q32" i="1" s="1"/>
  <c r="R32" i="1" a="1"/>
  <c r="R32" i="1" s="1"/>
  <c r="S32" i="1" a="1"/>
  <c r="S32" i="1" s="1"/>
  <c r="T32" i="1" a="1"/>
  <c r="T32" i="1" s="1"/>
  <c r="U32" i="1" a="1"/>
  <c r="U32" i="1" s="1"/>
  <c r="V32" i="1" a="1"/>
  <c r="V32" i="1" s="1"/>
  <c r="W32" i="1" a="1"/>
  <c r="W32" i="1" s="1"/>
  <c r="X32" i="1" a="1"/>
  <c r="X32" i="1" s="1"/>
  <c r="Y32" i="1" a="1"/>
  <c r="Y32" i="1"/>
  <c r="Z32" i="1" a="1"/>
  <c r="Z32" i="1"/>
  <c r="AA32" i="1" a="1"/>
  <c r="AA32" i="1" s="1"/>
  <c r="AB32" i="1" a="1"/>
  <c r="AB32" i="1" s="1"/>
  <c r="AG32" i="1" a="1"/>
  <c r="AG32" i="1"/>
  <c r="AH32" i="1" a="1"/>
  <c r="AH32" i="1"/>
  <c r="AJ32" i="1" a="1"/>
  <c r="AJ32" i="1" s="1"/>
  <c r="AK32" i="1" a="1"/>
  <c r="AK32" i="1"/>
  <c r="AL32" i="1" a="1"/>
  <c r="AL32" i="1"/>
  <c r="AM32" i="1" a="1"/>
  <c r="AM32" i="1" s="1"/>
  <c r="AN32" i="1" a="1"/>
  <c r="AN32" i="1" s="1"/>
  <c r="AO32" i="1" a="1"/>
  <c r="AO32" i="1" s="1"/>
  <c r="C33" i="1" a="1"/>
  <c r="C33" i="1" s="1"/>
  <c r="D33" i="1" a="1"/>
  <c r="D33" i="1"/>
  <c r="E33" i="1" a="1"/>
  <c r="E33" i="1" s="1"/>
  <c r="F33" i="1" a="1"/>
  <c r="F33" i="1" s="1"/>
  <c r="G33" i="1" a="1"/>
  <c r="G33" i="1" s="1"/>
  <c r="H33" i="1" a="1"/>
  <c r="H33" i="1" s="1"/>
  <c r="I33" i="1" a="1"/>
  <c r="I33" i="1" s="1"/>
  <c r="J33" i="1" a="1"/>
  <c r="J33" i="1" s="1"/>
  <c r="K33" i="1" a="1"/>
  <c r="K33" i="1" s="1"/>
  <c r="L33" i="1" a="1"/>
  <c r="L33" i="1" s="1"/>
  <c r="M33" i="1" a="1"/>
  <c r="M33" i="1" s="1"/>
  <c r="N33" i="1" a="1"/>
  <c r="N33" i="1" s="1"/>
  <c r="O33" i="1" a="1"/>
  <c r="O33" i="1" s="1"/>
  <c r="P33" i="1" a="1"/>
  <c r="P33" i="1" s="1"/>
  <c r="Q33" i="1" a="1"/>
  <c r="Q33" i="1" s="1"/>
  <c r="R33" i="1" a="1"/>
  <c r="R33" i="1" s="1"/>
  <c r="S33" i="1" a="1"/>
  <c r="S33" i="1" s="1"/>
  <c r="T33" i="1" a="1"/>
  <c r="T33" i="1" s="1"/>
  <c r="U33" i="1" a="1"/>
  <c r="U33" i="1" s="1"/>
  <c r="V33" i="1" a="1"/>
  <c r="V33" i="1" s="1"/>
  <c r="W33" i="1" a="1"/>
  <c r="W33" i="1" s="1"/>
  <c r="X33" i="1" a="1"/>
  <c r="X33" i="1" s="1"/>
  <c r="Y33" i="1" a="1"/>
  <c r="Y33" i="1"/>
  <c r="Z33" i="1" a="1"/>
  <c r="Z33" i="1"/>
  <c r="AA33" i="1" a="1"/>
  <c r="AA33" i="1" s="1"/>
  <c r="AB33" i="1" a="1"/>
  <c r="AB33" i="1" s="1"/>
  <c r="AG33" i="1" a="1"/>
  <c r="AG33" i="1"/>
  <c r="AH33" i="1" a="1"/>
  <c r="AH33" i="1"/>
  <c r="AJ33" i="1" a="1"/>
  <c r="AJ33" i="1" s="1"/>
  <c r="AK33" i="1" a="1"/>
  <c r="AK33" i="1"/>
  <c r="AL33" i="1" a="1"/>
  <c r="AL33" i="1"/>
  <c r="AM33" i="1" a="1"/>
  <c r="AM33" i="1" s="1"/>
  <c r="AN33" i="1" a="1"/>
  <c r="AN33" i="1" s="1"/>
  <c r="AO33" i="1" a="1"/>
  <c r="AO33" i="1" s="1"/>
  <c r="C34" i="1" a="1"/>
  <c r="C34" i="1" s="1"/>
  <c r="D34" i="1" a="1"/>
  <c r="D34" i="1"/>
  <c r="E34" i="1" a="1"/>
  <c r="E34" i="1"/>
  <c r="F34" i="1" a="1"/>
  <c r="F34" i="1"/>
  <c r="G34" i="1" a="1"/>
  <c r="G34" i="1"/>
  <c r="H34" i="1" a="1"/>
  <c r="H34" i="1"/>
  <c r="I34" i="1" a="1"/>
  <c r="I34" i="1"/>
  <c r="J34" i="1" a="1"/>
  <c r="J34" i="1" s="1"/>
  <c r="K34" i="1" a="1"/>
  <c r="K34" i="1"/>
  <c r="L34" i="1" a="1"/>
  <c r="L34" i="1"/>
  <c r="M34" i="1" a="1"/>
  <c r="M34" i="1"/>
  <c r="N34" i="1" a="1"/>
  <c r="N34" i="1"/>
  <c r="O34" i="1" a="1"/>
  <c r="O34" i="1"/>
  <c r="P34" i="1" a="1"/>
  <c r="P34" i="1"/>
  <c r="Q34" i="1" a="1"/>
  <c r="Q34" i="1" s="1"/>
  <c r="R34" i="1" a="1"/>
  <c r="R34" i="1"/>
  <c r="S34" i="1" a="1"/>
  <c r="S34" i="1"/>
  <c r="T34" i="1" a="1"/>
  <c r="T34" i="1" s="1"/>
  <c r="U34" i="1" a="1"/>
  <c r="U34" i="1"/>
  <c r="V34" i="1" a="1"/>
  <c r="V34" i="1" s="1"/>
  <c r="W34" i="1" a="1"/>
  <c r="W34" i="1" s="1"/>
  <c r="X34" i="1" a="1"/>
  <c r="X34" i="1"/>
  <c r="Y34" i="1" a="1"/>
  <c r="Y34" i="1"/>
  <c r="Z34" i="1" a="1"/>
  <c r="Z34" i="1" s="1"/>
  <c r="AA34" i="1" a="1"/>
  <c r="AA34" i="1"/>
  <c r="AB34" i="1" a="1"/>
  <c r="AB34" i="1" s="1"/>
  <c r="AG34" i="1" a="1"/>
  <c r="AG34" i="1"/>
  <c r="AH34" i="1" a="1"/>
  <c r="AH34" i="1"/>
  <c r="AJ34" i="1" a="1"/>
  <c r="AJ34" i="1"/>
  <c r="AK34" i="1" a="1"/>
  <c r="AK34" i="1"/>
  <c r="AL34" i="1" a="1"/>
  <c r="AL34" i="1"/>
  <c r="AM34" i="1" a="1"/>
  <c r="AM34" i="1" s="1"/>
  <c r="AN34" i="1" a="1"/>
  <c r="AN34" i="1" s="1"/>
  <c r="AO34" i="1" a="1"/>
  <c r="AO34" i="1" s="1"/>
  <c r="C35" i="1" a="1"/>
  <c r="C35" i="1" s="1"/>
  <c r="D35" i="1" a="1"/>
  <c r="D35" i="1" s="1"/>
  <c r="E35" i="1" a="1"/>
  <c r="E35" i="1" s="1"/>
  <c r="F35" i="1" a="1"/>
  <c r="F35" i="1" s="1"/>
  <c r="G35" i="1" a="1"/>
  <c r="G35" i="1" s="1"/>
  <c r="H35" i="1" a="1"/>
  <c r="H35" i="1"/>
  <c r="I35" i="1" a="1"/>
  <c r="I35" i="1"/>
  <c r="J35" i="1" a="1"/>
  <c r="J35" i="1" s="1"/>
  <c r="K35" i="1" a="1"/>
  <c r="K35" i="1"/>
  <c r="L35" i="1" a="1"/>
  <c r="L35" i="1"/>
  <c r="M35" i="1" a="1"/>
  <c r="M35" i="1" s="1"/>
  <c r="N35" i="1" a="1"/>
  <c r="N35" i="1"/>
  <c r="O35" i="1" a="1"/>
  <c r="O35" i="1"/>
  <c r="P35" i="1" a="1"/>
  <c r="P35" i="1"/>
  <c r="Q35" i="1" a="1"/>
  <c r="Q35" i="1" s="1"/>
  <c r="R35" i="1" a="1"/>
  <c r="R35" i="1" s="1"/>
  <c r="S35" i="1" a="1"/>
  <c r="S35" i="1"/>
  <c r="T35" i="1" a="1"/>
  <c r="T35" i="1" s="1"/>
  <c r="U35" i="1" a="1"/>
  <c r="U35" i="1"/>
  <c r="V35" i="1" a="1"/>
  <c r="V35" i="1" s="1"/>
  <c r="W35" i="1" a="1"/>
  <c r="W35" i="1" s="1"/>
  <c r="X35" i="1" a="1"/>
  <c r="X35" i="1" s="1"/>
  <c r="Y35" i="1" a="1"/>
  <c r="Y35" i="1"/>
  <c r="Z35" i="1" a="1"/>
  <c r="Z35" i="1" s="1"/>
  <c r="AA35" i="1" a="1"/>
  <c r="AA35" i="1" s="1"/>
  <c r="AB35" i="1" a="1"/>
  <c r="AB35" i="1" s="1"/>
  <c r="AG35" i="1" a="1"/>
  <c r="AG35" i="1"/>
  <c r="AH35" i="1" a="1"/>
  <c r="AH35" i="1"/>
  <c r="AJ35" i="1" a="1"/>
  <c r="AJ35" i="1" s="1"/>
  <c r="AK35" i="1" a="1"/>
  <c r="AK35" i="1"/>
  <c r="AL35" i="1" a="1"/>
  <c r="AL35" i="1"/>
  <c r="AM35" i="1" a="1"/>
  <c r="AM35" i="1" s="1"/>
  <c r="AN35" i="1" a="1"/>
  <c r="AN35" i="1" s="1"/>
  <c r="AO35" i="1" a="1"/>
  <c r="AO35" i="1" s="1"/>
  <c r="C36" i="1" a="1"/>
  <c r="C36" i="1" s="1"/>
  <c r="D36" i="1" a="1"/>
  <c r="D36" i="1" s="1"/>
  <c r="E36" i="1" a="1"/>
  <c r="E36" i="1" s="1"/>
  <c r="F36" i="1" a="1"/>
  <c r="F36" i="1" s="1"/>
  <c r="G36" i="1" a="1"/>
  <c r="G36" i="1" s="1"/>
  <c r="H36" i="1" a="1"/>
  <c r="H36" i="1" s="1"/>
  <c r="I36" i="1" a="1"/>
  <c r="I36" i="1" s="1"/>
  <c r="J36" i="1" a="1"/>
  <c r="J36" i="1" s="1"/>
  <c r="K36" i="1" a="1"/>
  <c r="K36" i="1" s="1"/>
  <c r="L36" i="1" a="1"/>
  <c r="L36" i="1" s="1"/>
  <c r="M36" i="1" a="1"/>
  <c r="M36" i="1" s="1"/>
  <c r="N36" i="1" a="1"/>
  <c r="N36" i="1" s="1"/>
  <c r="O36" i="1" a="1"/>
  <c r="O36" i="1" s="1"/>
  <c r="P36" i="1" a="1"/>
  <c r="P36" i="1" s="1"/>
  <c r="Q36" i="1" a="1"/>
  <c r="Q36" i="1" s="1"/>
  <c r="R36" i="1" a="1"/>
  <c r="R36" i="1" s="1"/>
  <c r="S36" i="1" a="1"/>
  <c r="S36" i="1" s="1"/>
  <c r="T36" i="1" a="1"/>
  <c r="T36" i="1" s="1"/>
  <c r="U36" i="1" a="1"/>
  <c r="U36" i="1" s="1"/>
  <c r="V36" i="1" a="1"/>
  <c r="V36" i="1" s="1"/>
  <c r="W36" i="1" a="1"/>
  <c r="W36" i="1" s="1"/>
  <c r="X36" i="1" a="1"/>
  <c r="X36" i="1" s="1"/>
  <c r="Y36" i="1" a="1"/>
  <c r="Y36" i="1"/>
  <c r="Z36" i="1" a="1"/>
  <c r="Z36" i="1"/>
  <c r="AA36" i="1" a="1"/>
  <c r="AA36" i="1" s="1"/>
  <c r="AB36" i="1" a="1"/>
  <c r="AB36" i="1" s="1"/>
  <c r="AG36" i="1" a="1"/>
  <c r="AG36" i="1"/>
  <c r="AH36" i="1" a="1"/>
  <c r="AH36" i="1"/>
  <c r="AJ36" i="1" a="1"/>
  <c r="AJ36" i="1" s="1"/>
  <c r="AK36" i="1" a="1"/>
  <c r="AK36" i="1"/>
  <c r="AL36" i="1" a="1"/>
  <c r="AL36" i="1"/>
  <c r="AM36" i="1" a="1"/>
  <c r="AM36" i="1" s="1"/>
  <c r="AN36" i="1" a="1"/>
  <c r="AN36" i="1" s="1"/>
  <c r="AO36" i="1" a="1"/>
  <c r="AO36" i="1" s="1"/>
  <c r="C37" i="1" a="1"/>
  <c r="C37" i="1" s="1"/>
  <c r="D37" i="1" a="1"/>
  <c r="D37" i="1" s="1"/>
  <c r="E37" i="1" a="1"/>
  <c r="E37" i="1" s="1"/>
  <c r="F37" i="1" a="1"/>
  <c r="F37" i="1" s="1"/>
  <c r="G37" i="1" a="1"/>
  <c r="G37" i="1" s="1"/>
  <c r="H37" i="1" a="1"/>
  <c r="H37" i="1" s="1"/>
  <c r="I37" i="1" a="1"/>
  <c r="I37" i="1" s="1"/>
  <c r="J37" i="1" a="1"/>
  <c r="J37" i="1" s="1"/>
  <c r="K37" i="1" a="1"/>
  <c r="K37" i="1" s="1"/>
  <c r="L37" i="1" a="1"/>
  <c r="L37" i="1" s="1"/>
  <c r="M37" i="1" a="1"/>
  <c r="M37" i="1" s="1"/>
  <c r="N37" i="1" a="1"/>
  <c r="N37" i="1" s="1"/>
  <c r="O37" i="1" a="1"/>
  <c r="O37" i="1" s="1"/>
  <c r="P37" i="1" a="1"/>
  <c r="P37" i="1" s="1"/>
  <c r="Q37" i="1" a="1"/>
  <c r="Q37" i="1" s="1"/>
  <c r="R37" i="1" a="1"/>
  <c r="R37" i="1" s="1"/>
  <c r="S37" i="1" a="1"/>
  <c r="S37" i="1" s="1"/>
  <c r="T37" i="1" a="1"/>
  <c r="T37" i="1" s="1"/>
  <c r="U37" i="1" a="1"/>
  <c r="U37" i="1" s="1"/>
  <c r="V37" i="1" a="1"/>
  <c r="V37" i="1" s="1"/>
  <c r="W37" i="1" a="1"/>
  <c r="W37" i="1" s="1"/>
  <c r="X37" i="1" a="1"/>
  <c r="X37" i="1" s="1"/>
  <c r="Y37" i="1" a="1"/>
  <c r="Y37" i="1"/>
  <c r="Z37" i="1" a="1"/>
  <c r="Z37" i="1"/>
  <c r="AA37" i="1" a="1"/>
  <c r="AA37" i="1" s="1"/>
  <c r="AB37" i="1" a="1"/>
  <c r="AB37" i="1" s="1"/>
  <c r="AG37" i="1" a="1"/>
  <c r="AG37" i="1"/>
  <c r="AH37" i="1" a="1"/>
  <c r="AH37" i="1"/>
  <c r="AJ37" i="1" a="1"/>
  <c r="AJ37" i="1" s="1"/>
  <c r="AK37" i="1" a="1"/>
  <c r="AK37" i="1"/>
  <c r="AL37" i="1" a="1"/>
  <c r="AL37" i="1"/>
  <c r="AM37" i="1" a="1"/>
  <c r="AM37" i="1" s="1"/>
  <c r="AN37" i="1" a="1"/>
  <c r="AN37" i="1" s="1"/>
  <c r="AO37" i="1" a="1"/>
  <c r="AO37" i="1" s="1"/>
  <c r="C38" i="1" a="1"/>
  <c r="C38" i="1"/>
  <c r="D38" i="1" a="1"/>
  <c r="D38" i="1"/>
  <c r="E38" i="1" a="1"/>
  <c r="E38" i="1"/>
  <c r="F38" i="1" a="1"/>
  <c r="F38" i="1"/>
  <c r="G38" i="1" a="1"/>
  <c r="G38" i="1"/>
  <c r="H38" i="1" a="1"/>
  <c r="H38" i="1"/>
  <c r="I38" i="1" a="1"/>
  <c r="I38" i="1"/>
  <c r="J38" i="1" a="1"/>
  <c r="J38" i="1"/>
  <c r="K38" i="1" a="1"/>
  <c r="K38" i="1"/>
  <c r="L38" i="1" a="1"/>
  <c r="L38" i="1"/>
  <c r="M38" i="1" a="1"/>
  <c r="M38" i="1"/>
  <c r="N38" i="1" a="1"/>
  <c r="N38" i="1"/>
  <c r="O38" i="1" a="1"/>
  <c r="O38" i="1"/>
  <c r="P38" i="1" a="1"/>
  <c r="P38" i="1"/>
  <c r="Q38" i="1" a="1"/>
  <c r="Q38" i="1"/>
  <c r="R38" i="1" a="1"/>
  <c r="R38" i="1"/>
  <c r="S38" i="1" a="1"/>
  <c r="S38" i="1"/>
  <c r="T38" i="1" a="1"/>
  <c r="T38" i="1"/>
  <c r="U38" i="1" a="1"/>
  <c r="U38" i="1"/>
  <c r="V38" i="1" a="1"/>
  <c r="V38" i="1"/>
  <c r="W38" i="1" a="1"/>
  <c r="W38" i="1"/>
  <c r="X38" i="1" a="1"/>
  <c r="X38" i="1"/>
  <c r="Y38" i="1" a="1"/>
  <c r="Y38" i="1"/>
  <c r="Z38" i="1" a="1"/>
  <c r="Z38" i="1"/>
  <c r="AA38" i="1" a="1"/>
  <c r="AA38" i="1"/>
  <c r="AB38" i="1" a="1"/>
  <c r="AB38" i="1"/>
  <c r="AG38" i="1" a="1"/>
  <c r="AG38" i="1"/>
  <c r="AH38" i="1" a="1"/>
  <c r="AH38" i="1"/>
  <c r="AJ38" i="1" a="1"/>
  <c r="AJ38" i="1"/>
  <c r="AK38" i="1" a="1"/>
  <c r="AK38" i="1"/>
  <c r="AL38" i="1" a="1"/>
  <c r="AL38" i="1"/>
  <c r="AM38" i="1" a="1"/>
  <c r="AM38" i="1"/>
  <c r="AN38" i="1" a="1"/>
  <c r="AN38" i="1"/>
  <c r="AO38" i="1" a="1"/>
  <c r="AO38" i="1"/>
  <c r="C39" i="1" a="1"/>
  <c r="C39" i="1"/>
  <c r="D39" i="1" a="1"/>
  <c r="D39" i="1"/>
  <c r="E39" i="1" a="1"/>
  <c r="E39" i="1"/>
  <c r="F39" i="1" a="1"/>
  <c r="F39" i="1"/>
  <c r="G39" i="1" a="1"/>
  <c r="G39" i="1"/>
  <c r="H39" i="1" a="1"/>
  <c r="H39" i="1"/>
  <c r="I39" i="1" a="1"/>
  <c r="I39" i="1"/>
  <c r="J39" i="1" a="1"/>
  <c r="J39" i="1"/>
  <c r="K39" i="1" a="1"/>
  <c r="K39" i="1"/>
  <c r="L39" i="1" a="1"/>
  <c r="L39" i="1"/>
  <c r="M39" i="1" a="1"/>
  <c r="M39" i="1"/>
  <c r="N39" i="1" a="1"/>
  <c r="N39" i="1"/>
  <c r="O39" i="1" a="1"/>
  <c r="O39" i="1" s="1"/>
  <c r="P39" i="1" a="1"/>
  <c r="P39" i="1"/>
  <c r="Q39" i="1" a="1"/>
  <c r="Q39" i="1"/>
  <c r="R39" i="1" a="1"/>
  <c r="R39" i="1" s="1"/>
  <c r="S39" i="1" a="1"/>
  <c r="S39" i="1"/>
  <c r="T39" i="1" a="1"/>
  <c r="T39" i="1"/>
  <c r="U39" i="1" a="1"/>
  <c r="U39" i="1" s="1"/>
  <c r="V39" i="1" a="1"/>
  <c r="V39" i="1"/>
  <c r="W39" i="1" a="1"/>
  <c r="W39" i="1"/>
  <c r="X39" i="1" a="1"/>
  <c r="X39" i="1" s="1"/>
  <c r="Y39" i="1" a="1"/>
  <c r="Y39" i="1"/>
  <c r="Z39" i="1" a="1"/>
  <c r="Z39" i="1"/>
  <c r="AA39" i="1" a="1"/>
  <c r="AA39" i="1" s="1"/>
  <c r="AB39" i="1" a="1"/>
  <c r="AB39" i="1" s="1"/>
  <c r="AG39" i="1" a="1"/>
  <c r="AG39" i="1"/>
  <c r="AH39" i="1" a="1"/>
  <c r="AH39" i="1"/>
  <c r="AJ39" i="1" a="1"/>
  <c r="AJ39" i="1" s="1"/>
  <c r="AK39" i="1" a="1"/>
  <c r="AK39" i="1"/>
  <c r="AL39" i="1" a="1"/>
  <c r="AL39" i="1"/>
  <c r="AM39" i="1" a="1"/>
  <c r="AM39" i="1" s="1"/>
  <c r="AN39" i="1" a="1"/>
  <c r="AN39" i="1"/>
  <c r="AO39" i="1" a="1"/>
  <c r="AO39" i="1" s="1"/>
  <c r="C40" i="1" a="1"/>
  <c r="C40" i="1" s="1"/>
  <c r="D40" i="1" a="1"/>
  <c r="D40" i="1" s="1"/>
  <c r="E40" i="1" a="1"/>
  <c r="E40" i="1" s="1"/>
  <c r="F40" i="1" a="1"/>
  <c r="F40" i="1" s="1"/>
  <c r="G40" i="1" a="1"/>
  <c r="G40" i="1"/>
  <c r="H40" i="1" a="1"/>
  <c r="H40" i="1" s="1"/>
  <c r="I40" i="1" a="1"/>
  <c r="I40" i="1" s="1"/>
  <c r="J40" i="1" a="1"/>
  <c r="J40" i="1" s="1"/>
  <c r="K40" i="1" a="1"/>
  <c r="K40" i="1" s="1"/>
  <c r="L40" i="1" a="1"/>
  <c r="L40" i="1" s="1"/>
  <c r="M40" i="1" a="1"/>
  <c r="M40" i="1"/>
  <c r="N40" i="1" a="1"/>
  <c r="N40" i="1" s="1"/>
  <c r="O40" i="1" a="1"/>
  <c r="O40" i="1" s="1"/>
  <c r="P40" i="1" a="1"/>
  <c r="P40" i="1" s="1"/>
  <c r="Q40" i="1" a="1"/>
  <c r="Q40" i="1" s="1"/>
  <c r="R40" i="1" a="1"/>
  <c r="R40" i="1" s="1"/>
  <c r="S40" i="1" a="1"/>
  <c r="S40" i="1"/>
  <c r="T40" i="1" a="1"/>
  <c r="T40" i="1" s="1"/>
  <c r="U40" i="1" a="1"/>
  <c r="U40" i="1" s="1"/>
  <c r="V40" i="1" a="1"/>
  <c r="V40" i="1" s="1"/>
  <c r="W40" i="1" a="1"/>
  <c r="W40" i="1" s="1"/>
  <c r="X40" i="1" a="1"/>
  <c r="X40" i="1" s="1"/>
  <c r="Y40" i="1" a="1"/>
  <c r="Y40" i="1"/>
  <c r="Z40" i="1" a="1"/>
  <c r="Z40" i="1"/>
  <c r="AA40" i="1" a="1"/>
  <c r="AA40" i="1" s="1"/>
  <c r="AB40" i="1" a="1"/>
  <c r="AB40" i="1" s="1"/>
  <c r="AG40" i="1" a="1"/>
  <c r="AG40" i="1"/>
  <c r="AH40" i="1" a="1"/>
  <c r="AH40" i="1"/>
  <c r="AJ40" i="1" a="1"/>
  <c r="AJ40" i="1"/>
  <c r="AK40" i="1" a="1"/>
  <c r="AK40" i="1"/>
  <c r="AL40" i="1" a="1"/>
  <c r="AL40" i="1"/>
  <c r="AM40" i="1" a="1"/>
  <c r="AM40" i="1" s="1"/>
  <c r="AN40" i="1" a="1"/>
  <c r="AN40" i="1" s="1"/>
  <c r="AO40" i="1" a="1"/>
  <c r="AO40" i="1" s="1"/>
  <c r="C41" i="1" a="1"/>
  <c r="C41" i="1"/>
  <c r="D41" i="1" a="1"/>
  <c r="D41" i="1" s="1"/>
  <c r="E41" i="1" a="1"/>
  <c r="E41" i="1" s="1"/>
  <c r="F41" i="1" a="1"/>
  <c r="F41" i="1" s="1"/>
  <c r="G41" i="1" a="1"/>
  <c r="G41" i="1" s="1"/>
  <c r="H41" i="1" a="1"/>
  <c r="H41" i="1" s="1"/>
  <c r="I41" i="1" a="1"/>
  <c r="I41" i="1"/>
  <c r="J41" i="1" a="1"/>
  <c r="J41" i="1" s="1"/>
  <c r="K41" i="1" a="1"/>
  <c r="K41" i="1" s="1"/>
  <c r="L41" i="1" a="1"/>
  <c r="L41" i="1" s="1"/>
  <c r="M41" i="1" a="1"/>
  <c r="M41" i="1" s="1"/>
  <c r="N41" i="1" a="1"/>
  <c r="N41" i="1" s="1"/>
  <c r="O41" i="1" a="1"/>
  <c r="O41" i="1"/>
  <c r="P41" i="1" a="1"/>
  <c r="P41" i="1" s="1"/>
  <c r="Q41" i="1" a="1"/>
  <c r="Q41" i="1" s="1"/>
  <c r="R41" i="1" a="1"/>
  <c r="R41" i="1" s="1"/>
  <c r="S41" i="1" a="1"/>
  <c r="S41" i="1"/>
  <c r="T41" i="1" a="1"/>
  <c r="T41" i="1" s="1"/>
  <c r="U41" i="1" a="1"/>
  <c r="U41" i="1"/>
  <c r="V41" i="1" a="1"/>
  <c r="V41" i="1" s="1"/>
  <c r="W41" i="1" a="1"/>
  <c r="W41" i="1" s="1"/>
  <c r="X41" i="1" a="1"/>
  <c r="X41" i="1" s="1"/>
  <c r="Y41" i="1" a="1"/>
  <c r="Y41" i="1"/>
  <c r="Z41" i="1" a="1"/>
  <c r="Z41" i="1"/>
  <c r="AA41" i="1" a="1"/>
  <c r="AA41" i="1"/>
  <c r="AB41" i="1" a="1"/>
  <c r="AB41" i="1" s="1"/>
  <c r="AG41" i="1" a="1"/>
  <c r="AG41" i="1"/>
  <c r="AH41" i="1" a="1"/>
  <c r="AH41" i="1"/>
  <c r="AJ41" i="1" a="1"/>
  <c r="AJ41" i="1" s="1"/>
  <c r="AK41" i="1" a="1"/>
  <c r="AK41" i="1"/>
  <c r="AL41" i="1" a="1"/>
  <c r="AL41" i="1"/>
  <c r="AM41" i="1" a="1"/>
  <c r="AM41" i="1" s="1"/>
  <c r="AN41" i="1" a="1"/>
  <c r="AN41" i="1" s="1"/>
  <c r="AO41" i="1" a="1"/>
  <c r="AO41" i="1" s="1"/>
  <c r="C42" i="1" a="1"/>
  <c r="C42" i="1" s="1"/>
  <c r="D42" i="1" a="1"/>
  <c r="D42" i="1" s="1"/>
  <c r="E42" i="1" a="1"/>
  <c r="E42" i="1"/>
  <c r="F42" i="1" a="1"/>
  <c r="F42" i="1" s="1"/>
  <c r="G42" i="1" a="1"/>
  <c r="G42" i="1" s="1"/>
  <c r="H42" i="1" a="1"/>
  <c r="H42" i="1" s="1"/>
  <c r="I42" i="1" a="1"/>
  <c r="I42" i="1" s="1"/>
  <c r="J42" i="1" a="1"/>
  <c r="J42" i="1" s="1"/>
  <c r="K42" i="1" a="1"/>
  <c r="K42" i="1" s="1"/>
  <c r="L42" i="1" a="1"/>
  <c r="L42" i="1" s="1"/>
  <c r="M42" i="1" a="1"/>
  <c r="M42" i="1" s="1"/>
  <c r="N42" i="1" a="1"/>
  <c r="N42" i="1" s="1"/>
  <c r="O42" i="1" a="1"/>
  <c r="O42" i="1" s="1"/>
  <c r="P42" i="1" a="1"/>
  <c r="P42" i="1" s="1"/>
  <c r="Q42" i="1" a="1"/>
  <c r="Q42" i="1" s="1"/>
  <c r="R42" i="1" a="1"/>
  <c r="R42" i="1" s="1"/>
  <c r="S42" i="1" a="1"/>
  <c r="S42" i="1" s="1"/>
  <c r="T42" i="1" a="1"/>
  <c r="T42" i="1" s="1"/>
  <c r="U42" i="1" a="1"/>
  <c r="U42" i="1" s="1"/>
  <c r="V42" i="1" a="1"/>
  <c r="V42" i="1" s="1"/>
  <c r="W42" i="1" a="1"/>
  <c r="W42" i="1" s="1"/>
  <c r="X42" i="1" a="1"/>
  <c r="X42" i="1" s="1"/>
  <c r="Y42" i="1" a="1"/>
  <c r="Y42" i="1"/>
  <c r="Z42" i="1" a="1"/>
  <c r="Z42" i="1"/>
  <c r="AA42" i="1" a="1"/>
  <c r="AA42" i="1" s="1"/>
  <c r="AB42" i="1" a="1"/>
  <c r="AB42" i="1" s="1"/>
  <c r="AG42" i="1" a="1"/>
  <c r="AG42" i="1"/>
  <c r="AH42" i="1" a="1"/>
  <c r="AH42" i="1"/>
  <c r="AJ42" i="1" a="1"/>
  <c r="AJ42" i="1" s="1"/>
  <c r="AK42" i="1" a="1"/>
  <c r="AK42" i="1"/>
  <c r="AL42" i="1" a="1"/>
  <c r="AL42" i="1"/>
  <c r="AM42" i="1" a="1"/>
  <c r="AM42" i="1" s="1"/>
  <c r="AN42" i="1" a="1"/>
  <c r="AN42" i="1" s="1"/>
  <c r="AO42" i="1" a="1"/>
  <c r="AO42" i="1" s="1"/>
  <c r="C43" i="1" a="1"/>
  <c r="C43" i="1" s="1"/>
  <c r="D43" i="1" a="1"/>
  <c r="D43" i="1" s="1"/>
  <c r="E43" i="1" a="1"/>
  <c r="E43" i="1"/>
  <c r="F43" i="1" a="1"/>
  <c r="F43" i="1" s="1"/>
  <c r="G43" i="1" a="1"/>
  <c r="G43" i="1" s="1"/>
  <c r="H43" i="1" a="1"/>
  <c r="H43" i="1"/>
  <c r="I43" i="1" a="1"/>
  <c r="I43" i="1"/>
  <c r="J43" i="1" a="1"/>
  <c r="J43" i="1" s="1"/>
  <c r="K43" i="1" a="1"/>
  <c r="K43" i="1" s="1"/>
  <c r="L43" i="1" a="1"/>
  <c r="L43" i="1" s="1"/>
  <c r="M43" i="1" a="1"/>
  <c r="M43" i="1" s="1"/>
  <c r="N43" i="1" a="1"/>
  <c r="N43" i="1"/>
  <c r="O43" i="1" a="1"/>
  <c r="O43" i="1"/>
  <c r="P43" i="1" a="1"/>
  <c r="P43" i="1"/>
  <c r="Q43" i="1" a="1"/>
  <c r="Q43" i="1" s="1"/>
  <c r="R43" i="1" a="1"/>
  <c r="R43" i="1" s="1"/>
  <c r="S43" i="1" a="1"/>
  <c r="S43" i="1"/>
  <c r="T43" i="1" a="1"/>
  <c r="T43" i="1" s="1"/>
  <c r="U43" i="1" a="1"/>
  <c r="U43" i="1"/>
  <c r="V43" i="1" a="1"/>
  <c r="V43" i="1" s="1"/>
  <c r="W43" i="1" a="1"/>
  <c r="W43" i="1" s="1"/>
  <c r="X43" i="1" a="1"/>
  <c r="X43" i="1" s="1"/>
  <c r="Y43" i="1" a="1"/>
  <c r="Y43" i="1"/>
  <c r="Z43" i="1" a="1"/>
  <c r="Z43" i="1"/>
  <c r="AA43" i="1" a="1"/>
  <c r="AA43" i="1" s="1"/>
  <c r="AB43" i="1" a="1"/>
  <c r="AB43" i="1" s="1"/>
  <c r="AG43" i="1" a="1"/>
  <c r="AG43" i="1"/>
  <c r="AH43" i="1" a="1"/>
  <c r="AH43" i="1"/>
  <c r="AJ43" i="1" a="1"/>
  <c r="AJ43" i="1" s="1"/>
  <c r="AK43" i="1" a="1"/>
  <c r="AK43" i="1"/>
  <c r="AL43" i="1" a="1"/>
  <c r="AL43" i="1"/>
  <c r="AM43" i="1" a="1"/>
  <c r="AM43" i="1" s="1"/>
  <c r="AN43" i="1" a="1"/>
  <c r="AN43" i="1" s="1"/>
  <c r="AO43" i="1" a="1"/>
  <c r="AO43" i="1" s="1"/>
  <c r="C44" i="1" a="1"/>
  <c r="C44" i="1" s="1"/>
  <c r="D44" i="1" a="1"/>
  <c r="D44" i="1" s="1"/>
  <c r="E44" i="1" a="1"/>
  <c r="E44" i="1" s="1"/>
  <c r="F44" i="1" a="1"/>
  <c r="F44" i="1" s="1"/>
  <c r="G44" i="1" a="1"/>
  <c r="G44" i="1" s="1"/>
  <c r="H44" i="1" a="1"/>
  <c r="H44" i="1" s="1"/>
  <c r="I44" i="1" a="1"/>
  <c r="I44" i="1" s="1"/>
  <c r="J44" i="1" a="1"/>
  <c r="J44" i="1" s="1"/>
  <c r="K44" i="1" a="1"/>
  <c r="K44" i="1" s="1"/>
  <c r="L44" i="1" a="1"/>
  <c r="L44" i="1" s="1"/>
  <c r="M44" i="1" a="1"/>
  <c r="M44" i="1" s="1"/>
  <c r="N44" i="1" a="1"/>
  <c r="N44" i="1" s="1"/>
  <c r="O44" i="1" a="1"/>
  <c r="O44" i="1" s="1"/>
  <c r="P44" i="1" a="1"/>
  <c r="P44" i="1" s="1"/>
  <c r="Q44" i="1" a="1"/>
  <c r="Q44" i="1" s="1"/>
  <c r="R44" i="1" a="1"/>
  <c r="R44" i="1" s="1"/>
  <c r="S44" i="1" a="1"/>
  <c r="S44" i="1" s="1"/>
  <c r="T44" i="1" a="1"/>
  <c r="T44" i="1" s="1"/>
  <c r="U44" i="1" a="1"/>
  <c r="U44" i="1" s="1"/>
  <c r="V44" i="1" a="1"/>
  <c r="V44" i="1" s="1"/>
  <c r="W44" i="1" a="1"/>
  <c r="W44" i="1" s="1"/>
  <c r="X44" i="1" a="1"/>
  <c r="X44" i="1" s="1"/>
  <c r="Y44" i="1" a="1"/>
  <c r="Y44" i="1"/>
  <c r="Z44" i="1" a="1"/>
  <c r="Z44" i="1"/>
  <c r="AA44" i="1" a="1"/>
  <c r="AA44" i="1" s="1"/>
  <c r="AB44" i="1" a="1"/>
  <c r="AB44" i="1" s="1"/>
  <c r="AG44" i="1" a="1"/>
  <c r="AG44" i="1"/>
  <c r="AH44" i="1" a="1"/>
  <c r="AH44" i="1"/>
  <c r="AJ44" i="1" a="1"/>
  <c r="AJ44" i="1" s="1"/>
  <c r="AK44" i="1" a="1"/>
  <c r="AK44" i="1"/>
  <c r="AL44" i="1" a="1"/>
  <c r="AL44" i="1"/>
  <c r="AM44" i="1" a="1"/>
  <c r="AM44" i="1" s="1"/>
  <c r="AN44" i="1" a="1"/>
  <c r="AN44" i="1" s="1"/>
  <c r="AO44" i="1" a="1"/>
  <c r="AO44" i="1" s="1"/>
  <c r="C45" i="1" a="1"/>
  <c r="C45" i="1" s="1"/>
  <c r="D45" i="1" a="1"/>
  <c r="D45" i="1" s="1"/>
  <c r="E45" i="1" a="1"/>
  <c r="E45" i="1" s="1"/>
  <c r="F45" i="1" a="1"/>
  <c r="F45" i="1"/>
  <c r="G45" i="1" a="1"/>
  <c r="G45" i="1"/>
  <c r="H45" i="1" a="1"/>
  <c r="H45" i="1"/>
  <c r="I45" i="1" a="1"/>
  <c r="I45" i="1" s="1"/>
  <c r="J45" i="1" a="1"/>
  <c r="J45" i="1" s="1"/>
  <c r="K45" i="1" a="1"/>
  <c r="K45" i="1" s="1"/>
  <c r="L45" i="1" a="1"/>
  <c r="L45" i="1"/>
  <c r="M45" i="1" a="1"/>
  <c r="M45" i="1"/>
  <c r="N45" i="1" a="1"/>
  <c r="N45" i="1"/>
  <c r="O45" i="1" a="1"/>
  <c r="O45" i="1" s="1"/>
  <c r="P45" i="1" a="1"/>
  <c r="P45" i="1" s="1"/>
  <c r="Q45" i="1" a="1"/>
  <c r="Q45" i="1" s="1"/>
  <c r="R45" i="1" a="1"/>
  <c r="R45" i="1"/>
  <c r="S45" i="1" a="1"/>
  <c r="S45" i="1"/>
  <c r="T45" i="1" a="1"/>
  <c r="T45" i="1"/>
  <c r="U45" i="1" a="1"/>
  <c r="U45" i="1" s="1"/>
  <c r="V45" i="1" a="1"/>
  <c r="V45" i="1" s="1"/>
  <c r="W45" i="1" a="1"/>
  <c r="W45" i="1" s="1"/>
  <c r="X45" i="1" a="1"/>
  <c r="X45" i="1"/>
  <c r="Y45" i="1" a="1"/>
  <c r="Y45" i="1"/>
  <c r="Z45" i="1" a="1"/>
  <c r="Z45" i="1"/>
  <c r="AA45" i="1" a="1"/>
  <c r="AA45" i="1" s="1"/>
  <c r="AB45" i="1" a="1"/>
  <c r="AB45" i="1" s="1"/>
  <c r="AG45" i="1" a="1"/>
  <c r="AG45" i="1"/>
  <c r="AH45" i="1" a="1"/>
  <c r="AH45" i="1"/>
  <c r="AJ45" i="1" a="1"/>
  <c r="AJ45" i="1"/>
  <c r="AK45" i="1" a="1"/>
  <c r="AK45" i="1"/>
  <c r="AL45" i="1" a="1"/>
  <c r="AL45" i="1"/>
  <c r="AM45" i="1" a="1"/>
  <c r="AM45" i="1" s="1"/>
  <c r="AN45" i="1" a="1"/>
  <c r="AN45" i="1" s="1"/>
  <c r="AO45" i="1" a="1"/>
  <c r="AO45" i="1"/>
  <c r="C46" i="1" a="1"/>
  <c r="C46" i="1"/>
  <c r="D46" i="1" a="1"/>
  <c r="D46" i="1" s="1"/>
  <c r="E46" i="1" a="1"/>
  <c r="E46" i="1" s="1"/>
  <c r="F46" i="1" a="1"/>
  <c r="F46" i="1" s="1"/>
  <c r="G46" i="1" a="1"/>
  <c r="G46" i="1" s="1"/>
  <c r="H46" i="1" a="1"/>
  <c r="H46" i="1"/>
  <c r="I46" i="1" a="1"/>
  <c r="I46" i="1" s="1"/>
  <c r="J46" i="1" a="1"/>
  <c r="J46" i="1" s="1"/>
  <c r="K46" i="1" a="1"/>
  <c r="K46" i="1" s="1"/>
  <c r="L46" i="1" a="1"/>
  <c r="L46" i="1" s="1"/>
  <c r="M46" i="1" a="1"/>
  <c r="M46" i="1" s="1"/>
  <c r="N46" i="1" a="1"/>
  <c r="N46" i="1" s="1"/>
  <c r="O46" i="1" a="1"/>
  <c r="O46" i="1" s="1"/>
  <c r="P46" i="1" a="1"/>
  <c r="P46" i="1" s="1"/>
  <c r="Q46" i="1" a="1"/>
  <c r="Q46" i="1" s="1"/>
  <c r="R46" i="1" a="1"/>
  <c r="R46" i="1" s="1"/>
  <c r="S46" i="1" a="1"/>
  <c r="S46" i="1"/>
  <c r="T46" i="1" a="1"/>
  <c r="T46" i="1" s="1"/>
  <c r="U46" i="1" a="1"/>
  <c r="U46" i="1" s="1"/>
  <c r="V46" i="1" a="1"/>
  <c r="V46" i="1" s="1"/>
  <c r="W46" i="1" a="1"/>
  <c r="W46" i="1" s="1"/>
  <c r="X46" i="1" a="1"/>
  <c r="X46" i="1" s="1"/>
  <c r="Y46" i="1" a="1"/>
  <c r="Y46" i="1"/>
  <c r="Z46" i="1" a="1"/>
  <c r="Z46" i="1"/>
  <c r="AA46" i="1" a="1"/>
  <c r="AA46" i="1" s="1"/>
  <c r="AB46" i="1" a="1"/>
  <c r="AB46" i="1" s="1"/>
  <c r="AG46" i="1" a="1"/>
  <c r="AG46" i="1"/>
  <c r="AH46" i="1" a="1"/>
  <c r="AH46" i="1"/>
  <c r="AJ46" i="1" a="1"/>
  <c r="AJ46" i="1" s="1"/>
  <c r="AK46" i="1" a="1"/>
  <c r="AK46" i="1"/>
  <c r="AL46" i="1" a="1"/>
  <c r="AL46" i="1"/>
  <c r="AM46" i="1" a="1"/>
  <c r="AM46" i="1" s="1"/>
  <c r="AN46" i="1" a="1"/>
  <c r="AN46" i="1" s="1"/>
  <c r="AO46" i="1" a="1"/>
  <c r="AO46" i="1" s="1"/>
  <c r="C47" i="1" a="1"/>
  <c r="C47" i="1" s="1"/>
  <c r="D47" i="1" a="1"/>
  <c r="D47" i="1" s="1"/>
  <c r="E47" i="1" a="1"/>
  <c r="E47" i="1" s="1"/>
  <c r="F47" i="1" a="1"/>
  <c r="F47" i="1" s="1"/>
  <c r="G47" i="1" a="1"/>
  <c r="G47" i="1" s="1"/>
  <c r="H47" i="1" a="1"/>
  <c r="H47" i="1" s="1"/>
  <c r="I47" i="1" a="1"/>
  <c r="I47" i="1" s="1"/>
  <c r="J47" i="1" a="1"/>
  <c r="J47" i="1" s="1"/>
  <c r="K47" i="1" a="1"/>
  <c r="K47" i="1" s="1"/>
  <c r="L47" i="1" a="1"/>
  <c r="L47" i="1" s="1"/>
  <c r="M47" i="1" a="1"/>
  <c r="M47" i="1" s="1"/>
  <c r="N47" i="1" a="1"/>
  <c r="N47" i="1" s="1"/>
  <c r="O47" i="1" a="1"/>
  <c r="O47" i="1" s="1"/>
  <c r="P47" i="1" a="1"/>
  <c r="P47" i="1" s="1"/>
  <c r="Q47" i="1" a="1"/>
  <c r="Q47" i="1" s="1"/>
  <c r="R47" i="1" a="1"/>
  <c r="R47" i="1" s="1"/>
  <c r="S47" i="1" a="1"/>
  <c r="S47" i="1" s="1"/>
  <c r="T47" i="1" a="1"/>
  <c r="T47" i="1" s="1"/>
  <c r="U47" i="1" a="1"/>
  <c r="U47" i="1" s="1"/>
  <c r="V47" i="1" a="1"/>
  <c r="V47" i="1" s="1"/>
  <c r="W47" i="1" a="1"/>
  <c r="W47" i="1" s="1"/>
  <c r="X47" i="1" a="1"/>
  <c r="X47" i="1" s="1"/>
  <c r="Y47" i="1" a="1"/>
  <c r="Y47" i="1"/>
  <c r="Z47" i="1" a="1"/>
  <c r="Z47" i="1"/>
  <c r="AA47" i="1" a="1"/>
  <c r="AA47" i="1" s="1"/>
  <c r="AB47" i="1" a="1"/>
  <c r="AB47" i="1" s="1"/>
  <c r="AG47" i="1" a="1"/>
  <c r="AG47" i="1"/>
  <c r="AH47" i="1" a="1"/>
  <c r="AH47" i="1"/>
  <c r="AJ47" i="1" a="1"/>
  <c r="AJ47" i="1" s="1"/>
  <c r="AK47" i="1" a="1"/>
  <c r="AK47" i="1"/>
  <c r="AL47" i="1" a="1"/>
  <c r="AL47" i="1"/>
  <c r="AM47" i="1" a="1"/>
  <c r="AM47" i="1" s="1"/>
  <c r="AN47" i="1" a="1"/>
  <c r="AN47" i="1" s="1"/>
  <c r="AO47" i="1" a="1"/>
  <c r="AO47" i="1" s="1"/>
  <c r="C48" i="1" a="1"/>
  <c r="C48" i="1" s="1"/>
  <c r="D48" i="1" a="1"/>
  <c r="D48" i="1" s="1"/>
  <c r="E48" i="1" a="1"/>
  <c r="E48" i="1" s="1"/>
  <c r="F48" i="1" a="1"/>
  <c r="F48" i="1" s="1"/>
  <c r="G48" i="1" a="1"/>
  <c r="G48" i="1" s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M48" i="1" a="1"/>
  <c r="M48" i="1" s="1"/>
  <c r="N48" i="1" a="1"/>
  <c r="N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Y48" i="1" a="1"/>
  <c r="Y48" i="1"/>
  <c r="Z48" i="1" a="1"/>
  <c r="Z48" i="1"/>
  <c r="AA48" i="1" a="1"/>
  <c r="AA48" i="1" s="1"/>
  <c r="AB48" i="1" a="1"/>
  <c r="AB48" i="1" s="1"/>
  <c r="AG48" i="1" a="1"/>
  <c r="AG48" i="1"/>
  <c r="AH48" i="1" a="1"/>
  <c r="AH48" i="1"/>
  <c r="AJ48" i="1" a="1"/>
  <c r="AJ48" i="1" s="1"/>
  <c r="AK48" i="1" a="1"/>
  <c r="AK48" i="1"/>
  <c r="AL48" i="1" a="1"/>
  <c r="AL48" i="1"/>
  <c r="AM48" i="1" a="1"/>
  <c r="AM48" i="1" s="1"/>
  <c r="AN48" i="1" a="1"/>
  <c r="AN48" i="1" s="1"/>
  <c r="AO48" i="1" a="1"/>
  <c r="AO48" i="1" s="1"/>
  <c r="C49" i="1" a="1"/>
  <c r="C49" i="1"/>
  <c r="D49" i="1" a="1"/>
  <c r="D49" i="1"/>
  <c r="E49" i="1" a="1"/>
  <c r="E49" i="1"/>
  <c r="F49" i="1" a="1"/>
  <c r="F49" i="1"/>
  <c r="G49" i="1" a="1"/>
  <c r="G49" i="1" s="1"/>
  <c r="H49" i="1" a="1"/>
  <c r="H49" i="1" s="1"/>
  <c r="I49" i="1" a="1"/>
  <c r="I49" i="1" s="1"/>
  <c r="J49" i="1" a="1"/>
  <c r="J49" i="1" s="1"/>
  <c r="K49" i="1" a="1"/>
  <c r="K49" i="1" s="1"/>
  <c r="L49" i="1" a="1"/>
  <c r="L49" i="1" s="1"/>
  <c r="M49" i="1" a="1"/>
  <c r="M49" i="1" s="1"/>
  <c r="N49" i="1" a="1"/>
  <c r="N49" i="1" s="1"/>
  <c r="O49" i="1" a="1"/>
  <c r="O49" i="1" s="1"/>
  <c r="P49" i="1" a="1"/>
  <c r="P49" i="1" s="1"/>
  <c r="Q49" i="1" a="1"/>
  <c r="Q49" i="1" s="1"/>
  <c r="R49" i="1" a="1"/>
  <c r="R49" i="1" s="1"/>
  <c r="S49" i="1" a="1"/>
  <c r="S49" i="1" s="1"/>
  <c r="T49" i="1" a="1"/>
  <c r="T49" i="1" s="1"/>
  <c r="U49" i="1" a="1"/>
  <c r="U49" i="1" s="1"/>
  <c r="V49" i="1" a="1"/>
  <c r="V49" i="1" s="1"/>
  <c r="W49" i="1" a="1"/>
  <c r="W49" i="1" s="1"/>
  <c r="X49" i="1" a="1"/>
  <c r="X49" i="1" s="1"/>
  <c r="Y49" i="1" a="1"/>
  <c r="Y49" i="1"/>
  <c r="Z49" i="1" a="1"/>
  <c r="Z49" i="1"/>
  <c r="AA49" i="1" a="1"/>
  <c r="AA49" i="1" s="1"/>
  <c r="AB49" i="1" a="1"/>
  <c r="AB49" i="1" s="1"/>
  <c r="AG49" i="1" a="1"/>
  <c r="AG49" i="1"/>
  <c r="AH49" i="1" a="1"/>
  <c r="AH49" i="1"/>
  <c r="AJ49" i="1" a="1"/>
  <c r="AJ49" i="1" s="1"/>
  <c r="AK49" i="1" a="1"/>
  <c r="AK49" i="1"/>
  <c r="AL49" i="1" a="1"/>
  <c r="AL49" i="1"/>
  <c r="AM49" i="1" a="1"/>
  <c r="AM49" i="1" s="1"/>
  <c r="AN49" i="1" a="1"/>
  <c r="AN49" i="1" s="1"/>
  <c r="AO49" i="1" a="1"/>
  <c r="AO49" i="1" s="1"/>
  <c r="C50" i="1" a="1"/>
  <c r="C50" i="1"/>
  <c r="D50" i="1" a="1"/>
  <c r="D50" i="1"/>
  <c r="E50" i="1" a="1"/>
  <c r="E50" i="1" s="1"/>
  <c r="F50" i="1" a="1"/>
  <c r="F50" i="1"/>
  <c r="G50" i="1" a="1"/>
  <c r="G50" i="1"/>
  <c r="H50" i="1" a="1"/>
  <c r="H50" i="1"/>
  <c r="I50" i="1" a="1"/>
  <c r="I50" i="1" s="1"/>
  <c r="J50" i="1" a="1"/>
  <c r="J50" i="1"/>
  <c r="K50" i="1" a="1"/>
  <c r="K50" i="1" s="1"/>
  <c r="L50" i="1" a="1"/>
  <c r="L50" i="1"/>
  <c r="M50" i="1" a="1"/>
  <c r="M50" i="1" s="1"/>
  <c r="N50" i="1" a="1"/>
  <c r="N50" i="1"/>
  <c r="O50" i="1" a="1"/>
  <c r="O50" i="1" s="1"/>
  <c r="P50" i="1" a="1"/>
  <c r="P50" i="1"/>
  <c r="Q50" i="1" a="1"/>
  <c r="Q50" i="1" s="1"/>
  <c r="R50" i="1" a="1"/>
  <c r="R50" i="1"/>
  <c r="S50" i="1" a="1"/>
  <c r="S50" i="1"/>
  <c r="T50" i="1" a="1"/>
  <c r="T50" i="1"/>
  <c r="U50" i="1" a="1"/>
  <c r="U50" i="1" s="1"/>
  <c r="V50" i="1" a="1"/>
  <c r="V50" i="1"/>
  <c r="W50" i="1" a="1"/>
  <c r="W50" i="1" s="1"/>
  <c r="X50" i="1" a="1"/>
  <c r="X50" i="1" s="1"/>
  <c r="Y50" i="1" a="1"/>
  <c r="Y50" i="1"/>
  <c r="Z50" i="1" a="1"/>
  <c r="Z50" i="1"/>
  <c r="AA50" i="1" a="1"/>
  <c r="AA50" i="1" s="1"/>
  <c r="AB50" i="1" a="1"/>
  <c r="AB50" i="1"/>
  <c r="AG50" i="1" a="1"/>
  <c r="AG50" i="1"/>
  <c r="AH50" i="1" a="1"/>
  <c r="AH50" i="1"/>
  <c r="AJ50" i="1" a="1"/>
  <c r="AJ50" i="1" s="1"/>
  <c r="AK50" i="1" a="1"/>
  <c r="AK50" i="1"/>
  <c r="AL50" i="1" a="1"/>
  <c r="AL50" i="1"/>
  <c r="AM50" i="1" a="1"/>
  <c r="AM50" i="1"/>
  <c r="AN50" i="1" a="1"/>
  <c r="AN50" i="1" s="1"/>
  <c r="AO50" i="1" a="1"/>
  <c r="AO50" i="1" s="1"/>
  <c r="C51" i="1" a="1"/>
  <c r="C51" i="1" s="1"/>
  <c r="D51" i="1" a="1"/>
  <c r="D51" i="1" s="1"/>
  <c r="E51" i="1" a="1"/>
  <c r="E51" i="1" s="1"/>
  <c r="F51" i="1" a="1"/>
  <c r="F51" i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Q51" i="1" a="1"/>
  <c r="Q51" i="1" s="1"/>
  <c r="R51" i="1" a="1"/>
  <c r="R51" i="1" s="1"/>
  <c r="S51" i="1" a="1"/>
  <c r="S51" i="1" s="1"/>
  <c r="T51" i="1" a="1"/>
  <c r="T51" i="1" s="1"/>
  <c r="U51" i="1" a="1"/>
  <c r="U51" i="1" s="1"/>
  <c r="V51" i="1" a="1"/>
  <c r="V51" i="1" s="1"/>
  <c r="W51" i="1" a="1"/>
  <c r="W51" i="1" s="1"/>
  <c r="X51" i="1" a="1"/>
  <c r="X51" i="1" s="1"/>
  <c r="Y51" i="1" a="1"/>
  <c r="Y51" i="1"/>
  <c r="Z51" i="1" a="1"/>
  <c r="Z51" i="1"/>
  <c r="AA51" i="1" a="1"/>
  <c r="AA51" i="1" s="1"/>
  <c r="AB51" i="1" a="1"/>
  <c r="AB51" i="1" s="1"/>
  <c r="AG51" i="1" a="1"/>
  <c r="AG51" i="1"/>
  <c r="AH51" i="1" a="1"/>
  <c r="AH51" i="1"/>
  <c r="AJ51" i="1" a="1"/>
  <c r="AJ51" i="1" s="1"/>
  <c r="AK51" i="1" a="1"/>
  <c r="AK51" i="1"/>
  <c r="AL51" i="1" a="1"/>
  <c r="AL51" i="1"/>
  <c r="AM51" i="1" a="1"/>
  <c r="AM51" i="1" s="1"/>
  <c r="AN51" i="1" a="1"/>
  <c r="AN51" i="1" s="1"/>
  <c r="AO51" i="1" a="1"/>
  <c r="AO51" i="1" s="1"/>
  <c r="C52" i="1" a="1"/>
  <c r="C52" i="1" s="1"/>
  <c r="D52" i="1" a="1"/>
  <c r="D52" i="1"/>
  <c r="E52" i="1" a="1"/>
  <c r="E52" i="1" s="1"/>
  <c r="F52" i="1" a="1"/>
  <c r="F52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L52" i="1" a="1"/>
  <c r="L52" i="1" s="1"/>
  <c r="M52" i="1" a="1"/>
  <c r="M52" i="1" s="1"/>
  <c r="N52" i="1" a="1"/>
  <c r="N52" i="1" s="1"/>
  <c r="O52" i="1" a="1"/>
  <c r="O52" i="1" s="1"/>
  <c r="P52" i="1" a="1"/>
  <c r="P52" i="1" s="1"/>
  <c r="Q52" i="1" a="1"/>
  <c r="Q52" i="1" s="1"/>
  <c r="R52" i="1" a="1"/>
  <c r="R52" i="1" s="1"/>
  <c r="S52" i="1" a="1"/>
  <c r="S52" i="1" s="1"/>
  <c r="T52" i="1" a="1"/>
  <c r="T52" i="1" s="1"/>
  <c r="U52" i="1" a="1"/>
  <c r="U52" i="1" s="1"/>
  <c r="V52" i="1" a="1"/>
  <c r="V52" i="1" s="1"/>
  <c r="W52" i="1" a="1"/>
  <c r="W52" i="1" s="1"/>
  <c r="X52" i="1" a="1"/>
  <c r="X52" i="1" s="1"/>
  <c r="Y52" i="1" a="1"/>
  <c r="Y52" i="1"/>
  <c r="Z52" i="1" a="1"/>
  <c r="Z52" i="1"/>
  <c r="AA52" i="1" a="1"/>
  <c r="AA52" i="1" s="1"/>
  <c r="AB52" i="1" a="1"/>
  <c r="AB52" i="1" s="1"/>
  <c r="AG52" i="1" a="1"/>
  <c r="AG52" i="1"/>
  <c r="AH52" i="1" a="1"/>
  <c r="AH52" i="1"/>
  <c r="AJ52" i="1" a="1"/>
  <c r="AJ52" i="1" s="1"/>
  <c r="AK52" i="1" a="1"/>
  <c r="AK52" i="1"/>
  <c r="AL52" i="1" a="1"/>
  <c r="AL52" i="1"/>
  <c r="AM52" i="1" a="1"/>
  <c r="AM52" i="1" s="1"/>
  <c r="AN52" i="1" a="1"/>
  <c r="AN52" i="1" s="1"/>
  <c r="AO52" i="1" a="1"/>
  <c r="AO52" i="1" s="1"/>
  <c r="C53" i="1" a="1"/>
  <c r="C53" i="1" s="1"/>
  <c r="D53" i="1" a="1"/>
  <c r="D53" i="1" s="1"/>
  <c r="E53" i="1" a="1"/>
  <c r="E53" i="1"/>
  <c r="F53" i="1" a="1"/>
  <c r="F53" i="1"/>
  <c r="G53" i="1" a="1"/>
  <c r="G53" i="1" s="1"/>
  <c r="H53" i="1" a="1"/>
  <c r="H53" i="1" s="1"/>
  <c r="I53" i="1" a="1"/>
  <c r="I53" i="1" s="1"/>
  <c r="J53" i="1" a="1"/>
  <c r="J53" i="1" s="1"/>
  <c r="K53" i="1" a="1"/>
  <c r="K53" i="1" s="1"/>
  <c r="L53" i="1" a="1"/>
  <c r="L53" i="1" s="1"/>
  <c r="M53" i="1" a="1"/>
  <c r="M53" i="1" s="1"/>
  <c r="N53" i="1" a="1"/>
  <c r="N53" i="1" s="1"/>
  <c r="O53" i="1" a="1"/>
  <c r="O53" i="1" s="1"/>
  <c r="P53" i="1" a="1"/>
  <c r="P53" i="1" s="1"/>
  <c r="Q53" i="1" a="1"/>
  <c r="Q53" i="1" s="1"/>
  <c r="R53" i="1" a="1"/>
  <c r="R53" i="1" s="1"/>
  <c r="S53" i="1" a="1"/>
  <c r="S53" i="1" s="1"/>
  <c r="T53" i="1" a="1"/>
  <c r="T53" i="1" s="1"/>
  <c r="U53" i="1" a="1"/>
  <c r="U53" i="1" s="1"/>
  <c r="V53" i="1" a="1"/>
  <c r="V53" i="1" s="1"/>
  <c r="W53" i="1" a="1"/>
  <c r="W53" i="1" s="1"/>
  <c r="X53" i="1" a="1"/>
  <c r="X53" i="1" s="1"/>
  <c r="Y53" i="1" a="1"/>
  <c r="Y53" i="1"/>
  <c r="Z53" i="1" a="1"/>
  <c r="Z53" i="1"/>
  <c r="AA53" i="1" a="1"/>
  <c r="AA53" i="1" s="1"/>
  <c r="AB53" i="1" a="1"/>
  <c r="AB53" i="1" s="1"/>
  <c r="AG53" i="1" a="1"/>
  <c r="AG53" i="1"/>
  <c r="AH53" i="1" a="1"/>
  <c r="AH53" i="1"/>
  <c r="AJ53" i="1" a="1"/>
  <c r="AJ53" i="1" s="1"/>
  <c r="AK53" i="1" a="1"/>
  <c r="AK53" i="1"/>
  <c r="AL53" i="1" a="1"/>
  <c r="AL53" i="1"/>
  <c r="AM53" i="1" a="1"/>
  <c r="AM53" i="1" s="1"/>
  <c r="AN53" i="1" a="1"/>
  <c r="AN53" i="1" s="1"/>
  <c r="AO53" i="1" a="1"/>
  <c r="AO53" i="1" s="1"/>
  <c r="C54" i="1" a="1"/>
  <c r="C54" i="1" s="1"/>
  <c r="D54" i="1" a="1"/>
  <c r="D54" i="1"/>
  <c r="E54" i="1" a="1"/>
  <c r="E54" i="1" s="1"/>
  <c r="F54" i="1" a="1"/>
  <c r="F54" i="1" s="1"/>
  <c r="G54" i="1" a="1"/>
  <c r="G54" i="1" s="1"/>
  <c r="H54" i="1" a="1"/>
  <c r="H54" i="1" s="1"/>
  <c r="I54" i="1" a="1"/>
  <c r="I54" i="1" s="1"/>
  <c r="J54" i="1" a="1"/>
  <c r="J54" i="1" s="1"/>
  <c r="K54" i="1" a="1"/>
  <c r="K54" i="1" s="1"/>
  <c r="L54" i="1" a="1"/>
  <c r="L54" i="1" s="1"/>
  <c r="M54" i="1" a="1"/>
  <c r="M54" i="1" s="1"/>
  <c r="N54" i="1" a="1"/>
  <c r="N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T54" i="1" a="1"/>
  <c r="T54" i="1" s="1"/>
  <c r="U54" i="1" a="1"/>
  <c r="U54" i="1" s="1"/>
  <c r="V54" i="1" a="1"/>
  <c r="V54" i="1" s="1"/>
  <c r="W54" i="1" a="1"/>
  <c r="W54" i="1" s="1"/>
  <c r="X54" i="1" a="1"/>
  <c r="X54" i="1" s="1"/>
  <c r="Y54" i="1" a="1"/>
  <c r="Y54" i="1"/>
  <c r="Z54" i="1" a="1"/>
  <c r="Z54" i="1"/>
  <c r="AA54" i="1" a="1"/>
  <c r="AA54" i="1" s="1"/>
  <c r="AB54" i="1" a="1"/>
  <c r="AB54" i="1" s="1"/>
  <c r="AG54" i="1" a="1"/>
  <c r="AG54" i="1"/>
  <c r="AH54" i="1" a="1"/>
  <c r="AH54" i="1"/>
  <c r="AJ54" i="1" a="1"/>
  <c r="AJ54" i="1" s="1"/>
  <c r="AK54" i="1" a="1"/>
  <c r="AK54" i="1"/>
  <c r="AL54" i="1" a="1"/>
  <c r="AL54" i="1"/>
  <c r="AM54" i="1" a="1"/>
  <c r="AM54" i="1" s="1"/>
  <c r="AN54" i="1" a="1"/>
  <c r="AN54" i="1" s="1"/>
  <c r="AO54" i="1" a="1"/>
  <c r="AO54" i="1" s="1"/>
  <c r="C55" i="1" a="1"/>
  <c r="C55" i="1" s="1"/>
  <c r="D55" i="1" a="1"/>
  <c r="D55" i="1" s="1"/>
  <c r="E55" i="1" a="1"/>
  <c r="E55" i="1" s="1"/>
  <c r="F55" i="1" a="1"/>
  <c r="F55" i="1" s="1"/>
  <c r="G55" i="1" a="1"/>
  <c r="G55" i="1" s="1"/>
  <c r="H55" i="1" a="1"/>
  <c r="H55" i="1" s="1"/>
  <c r="I55" i="1" a="1"/>
  <c r="I55" i="1" s="1"/>
  <c r="J55" i="1" a="1"/>
  <c r="J55" i="1" s="1"/>
  <c r="K55" i="1" a="1"/>
  <c r="K55" i="1" s="1"/>
  <c r="L55" i="1" a="1"/>
  <c r="L55" i="1" s="1"/>
  <c r="M55" i="1" a="1"/>
  <c r="M55" i="1" s="1"/>
  <c r="N55" i="1" a="1"/>
  <c r="N55" i="1" s="1"/>
  <c r="O55" i="1" a="1"/>
  <c r="O55" i="1" s="1"/>
  <c r="P55" i="1" a="1"/>
  <c r="P55" i="1" s="1"/>
  <c r="Q55" i="1" a="1"/>
  <c r="Q55" i="1" s="1"/>
  <c r="R55" i="1" a="1"/>
  <c r="R55" i="1" s="1"/>
  <c r="S55" i="1" a="1"/>
  <c r="S55" i="1"/>
  <c r="T55" i="1" a="1"/>
  <c r="T55" i="1" s="1"/>
  <c r="U55" i="1" a="1"/>
  <c r="U55" i="1" s="1"/>
  <c r="V55" i="1" a="1"/>
  <c r="V55" i="1" s="1"/>
  <c r="W55" i="1" a="1"/>
  <c r="W55" i="1" s="1"/>
  <c r="X55" i="1" a="1"/>
  <c r="X55" i="1" s="1"/>
  <c r="Y55" i="1" a="1"/>
  <c r="Y55" i="1"/>
  <c r="Z55" i="1" a="1"/>
  <c r="Z55" i="1"/>
  <c r="AA55" i="1" a="1"/>
  <c r="AA55" i="1" s="1"/>
  <c r="AB55" i="1" a="1"/>
  <c r="AB55" i="1" s="1"/>
  <c r="AG55" i="1" a="1"/>
  <c r="AG55" i="1"/>
  <c r="AH55" i="1" a="1"/>
  <c r="AH55" i="1"/>
  <c r="AJ55" i="1" a="1"/>
  <c r="AJ55" i="1" s="1"/>
  <c r="AK55" i="1" a="1"/>
  <c r="AK55" i="1"/>
  <c r="AL55" i="1" a="1"/>
  <c r="AL55" i="1"/>
  <c r="AM55" i="1" a="1"/>
  <c r="AM55" i="1" s="1"/>
  <c r="AN55" i="1" a="1"/>
  <c r="AN55" i="1" s="1"/>
  <c r="AO55" i="1" a="1"/>
  <c r="AO55" i="1" s="1"/>
  <c r="C56" i="1" a="1"/>
  <c r="C56" i="1" s="1"/>
  <c r="D56" i="1" a="1"/>
  <c r="D56" i="1" s="1"/>
  <c r="E56" i="1" a="1"/>
  <c r="E56" i="1" s="1"/>
  <c r="F56" i="1" a="1"/>
  <c r="F56" i="1" s="1"/>
  <c r="G56" i="1" a="1"/>
  <c r="G56" i="1" s="1"/>
  <c r="H56" i="1" a="1"/>
  <c r="H56" i="1" s="1"/>
  <c r="I56" i="1" a="1"/>
  <c r="I56" i="1" s="1"/>
  <c r="J56" i="1" a="1"/>
  <c r="J56" i="1" s="1"/>
  <c r="K56" i="1" a="1"/>
  <c r="K56" i="1" s="1"/>
  <c r="L56" i="1" a="1"/>
  <c r="L56" i="1" s="1"/>
  <c r="M56" i="1" a="1"/>
  <c r="M56" i="1" s="1"/>
  <c r="N56" i="1" a="1"/>
  <c r="N56" i="1" s="1"/>
  <c r="O56" i="1" a="1"/>
  <c r="O56" i="1" s="1"/>
  <c r="P56" i="1" a="1"/>
  <c r="P56" i="1" s="1"/>
  <c r="Q56" i="1" a="1"/>
  <c r="Q56" i="1" s="1"/>
  <c r="R56" i="1" a="1"/>
  <c r="R56" i="1" s="1"/>
  <c r="S56" i="1" a="1"/>
  <c r="S56" i="1"/>
  <c r="T56" i="1" a="1"/>
  <c r="T56" i="1" s="1"/>
  <c r="U56" i="1" a="1"/>
  <c r="U56" i="1" s="1"/>
  <c r="V56" i="1" a="1"/>
  <c r="V56" i="1" s="1"/>
  <c r="W56" i="1" a="1"/>
  <c r="W56" i="1" s="1"/>
  <c r="X56" i="1" a="1"/>
  <c r="X56" i="1" s="1"/>
  <c r="Y56" i="1" a="1"/>
  <c r="Y56" i="1"/>
  <c r="Z56" i="1" a="1"/>
  <c r="Z56" i="1"/>
  <c r="AA56" i="1" a="1"/>
  <c r="AA56" i="1" s="1"/>
  <c r="AB56" i="1" a="1"/>
  <c r="AB56" i="1" s="1"/>
  <c r="AG56" i="1" a="1"/>
  <c r="AG56" i="1"/>
  <c r="AH56" i="1" a="1"/>
  <c r="AH56" i="1"/>
  <c r="AJ56" i="1" a="1"/>
  <c r="AJ56" i="1" s="1"/>
  <c r="AK56" i="1" a="1"/>
  <c r="AK56" i="1"/>
  <c r="AL56" i="1" a="1"/>
  <c r="AL56" i="1"/>
  <c r="AM56" i="1" a="1"/>
  <c r="AM56" i="1" s="1"/>
  <c r="AN56" i="1" a="1"/>
  <c r="AN56" i="1" s="1"/>
  <c r="AO56" i="1" a="1"/>
  <c r="AO56" i="1" s="1"/>
  <c r="C57" i="1" a="1"/>
  <c r="C57" i="1" s="1"/>
  <c r="D57" i="1" a="1"/>
  <c r="D57" i="1" s="1"/>
  <c r="E57" i="1" a="1"/>
  <c r="E57" i="1" s="1"/>
  <c r="F57" i="1" a="1"/>
  <c r="F57" i="1" s="1"/>
  <c r="G57" i="1" a="1"/>
  <c r="G57" i="1" s="1"/>
  <c r="H57" i="1" a="1"/>
  <c r="H57" i="1" s="1"/>
  <c r="I57" i="1" a="1"/>
  <c r="I57" i="1" s="1"/>
  <c r="J57" i="1" a="1"/>
  <c r="J57" i="1" s="1"/>
  <c r="K57" i="1" a="1"/>
  <c r="K57" i="1" s="1"/>
  <c r="L57" i="1" a="1"/>
  <c r="L57" i="1" s="1"/>
  <c r="M57" i="1" a="1"/>
  <c r="M57" i="1" s="1"/>
  <c r="N57" i="1" a="1"/>
  <c r="N57" i="1" s="1"/>
  <c r="O57" i="1" a="1"/>
  <c r="O57" i="1" s="1"/>
  <c r="P57" i="1" a="1"/>
  <c r="P57" i="1" s="1"/>
  <c r="Q57" i="1" a="1"/>
  <c r="Q57" i="1" s="1"/>
  <c r="R57" i="1" a="1"/>
  <c r="R57" i="1" s="1"/>
  <c r="S57" i="1" a="1"/>
  <c r="S57" i="1" s="1"/>
  <c r="T57" i="1" a="1"/>
  <c r="T57" i="1" s="1"/>
  <c r="U57" i="1" a="1"/>
  <c r="U57" i="1" s="1"/>
  <c r="V57" i="1" a="1"/>
  <c r="V57" i="1" s="1"/>
  <c r="W57" i="1" a="1"/>
  <c r="W57" i="1" s="1"/>
  <c r="X57" i="1" a="1"/>
  <c r="X57" i="1" s="1"/>
  <c r="Y57" i="1" a="1"/>
  <c r="Y57" i="1"/>
  <c r="Z57" i="1" a="1"/>
  <c r="Z57" i="1"/>
  <c r="AA57" i="1" a="1"/>
  <c r="AA57" i="1" s="1"/>
  <c r="AB57" i="1" a="1"/>
  <c r="AB57" i="1" s="1"/>
  <c r="AG57" i="1" a="1"/>
  <c r="AG57" i="1"/>
  <c r="AH57" i="1" a="1"/>
  <c r="AH57" i="1"/>
  <c r="AJ57" i="1" a="1"/>
  <c r="AJ57" i="1" s="1"/>
  <c r="AK57" i="1" a="1"/>
  <c r="AK57" i="1"/>
  <c r="AL57" i="1" a="1"/>
  <c r="AL57" i="1"/>
  <c r="AM57" i="1" a="1"/>
  <c r="AM57" i="1" s="1"/>
  <c r="AN57" i="1" a="1"/>
  <c r="AN57" i="1" s="1"/>
  <c r="AO57" i="1" a="1"/>
  <c r="AO57" i="1" s="1"/>
  <c r="C58" i="1" a="1"/>
  <c r="C58" i="1" s="1"/>
  <c r="D58" i="1" a="1"/>
  <c r="D58" i="1" s="1"/>
  <c r="E58" i="1" a="1"/>
  <c r="E58" i="1" s="1"/>
  <c r="F58" i="1" a="1"/>
  <c r="F58" i="1" s="1"/>
  <c r="G58" i="1" a="1"/>
  <c r="G58" i="1" s="1"/>
  <c r="H58" i="1" a="1"/>
  <c r="H58" i="1" s="1"/>
  <c r="I58" i="1" a="1"/>
  <c r="I58" i="1" s="1"/>
  <c r="J58" i="1" a="1"/>
  <c r="J58" i="1" s="1"/>
  <c r="K58" i="1" a="1"/>
  <c r="K58" i="1" s="1"/>
  <c r="L58" i="1" a="1"/>
  <c r="L58" i="1" s="1"/>
  <c r="M58" i="1" a="1"/>
  <c r="M58" i="1" s="1"/>
  <c r="N58" i="1" a="1"/>
  <c r="N58" i="1" s="1"/>
  <c r="O58" i="1" a="1"/>
  <c r="O58" i="1" s="1"/>
  <c r="P58" i="1" a="1"/>
  <c r="P58" i="1" s="1"/>
  <c r="Q58" i="1" a="1"/>
  <c r="Q58" i="1" s="1"/>
  <c r="R58" i="1" a="1"/>
  <c r="R58" i="1" s="1"/>
  <c r="S58" i="1" a="1"/>
  <c r="S58" i="1" s="1"/>
  <c r="T58" i="1" a="1"/>
  <c r="T58" i="1" s="1"/>
  <c r="U58" i="1" a="1"/>
  <c r="U58" i="1" s="1"/>
  <c r="V58" i="1" a="1"/>
  <c r="V58" i="1" s="1"/>
  <c r="W58" i="1" a="1"/>
  <c r="W58" i="1" s="1"/>
  <c r="X58" i="1" a="1"/>
  <c r="X58" i="1" s="1"/>
  <c r="Y58" i="1" a="1"/>
  <c r="Y58" i="1"/>
  <c r="Z58" i="1" a="1"/>
  <c r="Z58" i="1"/>
  <c r="AA58" i="1" a="1"/>
  <c r="AA58" i="1" s="1"/>
  <c r="AB58" i="1" a="1"/>
  <c r="AB58" i="1" s="1"/>
  <c r="AG58" i="1" a="1"/>
  <c r="AG58" i="1"/>
  <c r="AH58" i="1" a="1"/>
  <c r="AH58" i="1"/>
  <c r="AJ58" i="1" a="1"/>
  <c r="AJ58" i="1" s="1"/>
  <c r="AK58" i="1" a="1"/>
  <c r="AK58" i="1"/>
  <c r="AL58" i="1" a="1"/>
  <c r="AL58" i="1"/>
  <c r="AM58" i="1" a="1"/>
  <c r="AM58" i="1" s="1"/>
  <c r="AN58" i="1" a="1"/>
  <c r="AN58" i="1" s="1"/>
  <c r="AO58" i="1" a="1"/>
  <c r="AO58" i="1" s="1"/>
  <c r="C59" i="1" a="1"/>
  <c r="C59" i="1" s="1"/>
  <c r="D59" i="1" a="1"/>
  <c r="D59" i="1" s="1"/>
  <c r="E59" i="1" a="1"/>
  <c r="E59" i="1" s="1"/>
  <c r="F59" i="1" a="1"/>
  <c r="F59" i="1" s="1"/>
  <c r="G59" i="1" a="1"/>
  <c r="G59" i="1" s="1"/>
  <c r="H59" i="1" a="1"/>
  <c r="H59" i="1" s="1"/>
  <c r="I59" i="1" a="1"/>
  <c r="I59" i="1" s="1"/>
  <c r="J59" i="1" a="1"/>
  <c r="J59" i="1" s="1"/>
  <c r="K59" i="1" a="1"/>
  <c r="K59" i="1" s="1"/>
  <c r="L59" i="1" a="1"/>
  <c r="L59" i="1" s="1"/>
  <c r="M59" i="1" a="1"/>
  <c r="M59" i="1" s="1"/>
  <c r="N59" i="1" a="1"/>
  <c r="N59" i="1" s="1"/>
  <c r="O59" i="1" a="1"/>
  <c r="O59" i="1" s="1"/>
  <c r="P59" i="1" a="1"/>
  <c r="P59" i="1" s="1"/>
  <c r="Q59" i="1" a="1"/>
  <c r="Q59" i="1" s="1"/>
  <c r="R59" i="1" a="1"/>
  <c r="R59" i="1" s="1"/>
  <c r="S59" i="1" a="1"/>
  <c r="S59" i="1" s="1"/>
  <c r="T59" i="1" a="1"/>
  <c r="T59" i="1" s="1"/>
  <c r="U59" i="1" a="1"/>
  <c r="U59" i="1" s="1"/>
  <c r="V59" i="1" a="1"/>
  <c r="V59" i="1" s="1"/>
  <c r="W59" i="1" a="1"/>
  <c r="W59" i="1" s="1"/>
  <c r="X59" i="1" a="1"/>
  <c r="X59" i="1" s="1"/>
  <c r="Y59" i="1" a="1"/>
  <c r="Y59" i="1"/>
  <c r="Z59" i="1" a="1"/>
  <c r="Z59" i="1"/>
  <c r="AA59" i="1" a="1"/>
  <c r="AA59" i="1" s="1"/>
  <c r="AB59" i="1" a="1"/>
  <c r="AB59" i="1" s="1"/>
  <c r="AG59" i="1" a="1"/>
  <c r="AG59" i="1"/>
  <c r="AH59" i="1" a="1"/>
  <c r="AH59" i="1"/>
  <c r="AJ59" i="1" a="1"/>
  <c r="AJ59" i="1" s="1"/>
  <c r="AK59" i="1" a="1"/>
  <c r="AK59" i="1"/>
  <c r="AL59" i="1" a="1"/>
  <c r="AL59" i="1"/>
  <c r="AM59" i="1" a="1"/>
  <c r="AM59" i="1" s="1"/>
  <c r="AN59" i="1" a="1"/>
  <c r="AN59" i="1" s="1"/>
  <c r="AO59" i="1" a="1"/>
  <c r="AO59" i="1" s="1"/>
  <c r="C60" i="1" a="1"/>
  <c r="C60" i="1" s="1"/>
  <c r="D60" i="1" a="1"/>
  <c r="D60" i="1" s="1"/>
  <c r="E60" i="1" a="1"/>
  <c r="E60" i="1" s="1"/>
  <c r="F60" i="1" a="1"/>
  <c r="F60" i="1" s="1"/>
  <c r="G60" i="1" a="1"/>
  <c r="G60" i="1" s="1"/>
  <c r="H60" i="1" a="1"/>
  <c r="H60" i="1" s="1"/>
  <c r="I60" i="1" a="1"/>
  <c r="I60" i="1" s="1"/>
  <c r="J60" i="1" a="1"/>
  <c r="J60" i="1" s="1"/>
  <c r="K60" i="1" a="1"/>
  <c r="K60" i="1" s="1"/>
  <c r="L60" i="1" a="1"/>
  <c r="L60" i="1" s="1"/>
  <c r="M60" i="1" a="1"/>
  <c r="M60" i="1" s="1"/>
  <c r="N60" i="1" a="1"/>
  <c r="N60" i="1" s="1"/>
  <c r="O60" i="1" a="1"/>
  <c r="O60" i="1" s="1"/>
  <c r="P60" i="1" a="1"/>
  <c r="P60" i="1" s="1"/>
  <c r="Q60" i="1" a="1"/>
  <c r="Q60" i="1" s="1"/>
  <c r="R60" i="1" a="1"/>
  <c r="R60" i="1" s="1"/>
  <c r="S60" i="1" a="1"/>
  <c r="S60" i="1" s="1"/>
  <c r="T60" i="1" a="1"/>
  <c r="T60" i="1" s="1"/>
  <c r="U60" i="1" a="1"/>
  <c r="U60" i="1" s="1"/>
  <c r="V60" i="1" a="1"/>
  <c r="V60" i="1" s="1"/>
  <c r="W60" i="1" a="1"/>
  <c r="W60" i="1" s="1"/>
  <c r="X60" i="1" a="1"/>
  <c r="X60" i="1" s="1"/>
  <c r="Y60" i="1" a="1"/>
  <c r="Y60" i="1"/>
  <c r="Z60" i="1" a="1"/>
  <c r="Z60" i="1"/>
  <c r="AA60" i="1" a="1"/>
  <c r="AA60" i="1" s="1"/>
  <c r="AB60" i="1" a="1"/>
  <c r="AB60" i="1" s="1"/>
  <c r="AG60" i="1" a="1"/>
  <c r="AG60" i="1"/>
  <c r="AH60" i="1" a="1"/>
  <c r="AH60" i="1"/>
  <c r="AJ60" i="1" a="1"/>
  <c r="AJ60" i="1" s="1"/>
  <c r="AK60" i="1" a="1"/>
  <c r="AK60" i="1"/>
  <c r="AL60" i="1" a="1"/>
  <c r="AL60" i="1"/>
  <c r="AM60" i="1" a="1"/>
  <c r="AM60" i="1" s="1"/>
  <c r="AN60" i="1" a="1"/>
  <c r="AN60" i="1" s="1"/>
  <c r="AO60" i="1" a="1"/>
  <c r="AO60" i="1" s="1"/>
  <c r="C61" i="1" a="1"/>
  <c r="C61" i="1" s="1"/>
  <c r="D61" i="1" a="1"/>
  <c r="D61" i="1" s="1"/>
  <c r="E61" i="1" a="1"/>
  <c r="E61" i="1" s="1"/>
  <c r="F61" i="1" a="1"/>
  <c r="F61" i="1" s="1"/>
  <c r="G61" i="1" a="1"/>
  <c r="G61" i="1" s="1"/>
  <c r="H61" i="1" a="1"/>
  <c r="H61" i="1" s="1"/>
  <c r="I61" i="1" a="1"/>
  <c r="I61" i="1" s="1"/>
  <c r="J61" i="1" a="1"/>
  <c r="J61" i="1" s="1"/>
  <c r="K61" i="1" a="1"/>
  <c r="K61" i="1" s="1"/>
  <c r="L61" i="1" a="1"/>
  <c r="L61" i="1" s="1"/>
  <c r="M61" i="1" a="1"/>
  <c r="M61" i="1" s="1"/>
  <c r="N61" i="1" a="1"/>
  <c r="N61" i="1" s="1"/>
  <c r="O61" i="1" a="1"/>
  <c r="O61" i="1" s="1"/>
  <c r="P61" i="1" a="1"/>
  <c r="P61" i="1" s="1"/>
  <c r="Q61" i="1" a="1"/>
  <c r="Q61" i="1" s="1"/>
  <c r="R61" i="1" a="1"/>
  <c r="R61" i="1" s="1"/>
  <c r="S61" i="1" a="1"/>
  <c r="S61" i="1" s="1"/>
  <c r="T61" i="1" a="1"/>
  <c r="T61" i="1" s="1"/>
  <c r="U61" i="1" a="1"/>
  <c r="U61" i="1" s="1"/>
  <c r="V61" i="1" a="1"/>
  <c r="V61" i="1" s="1"/>
  <c r="W61" i="1" a="1"/>
  <c r="W61" i="1" s="1"/>
  <c r="X61" i="1" a="1"/>
  <c r="X61" i="1" s="1"/>
  <c r="Y61" i="1" a="1"/>
  <c r="Y61" i="1"/>
  <c r="Z61" i="1" a="1"/>
  <c r="Z61" i="1"/>
  <c r="AA61" i="1" a="1"/>
  <c r="AA61" i="1" s="1"/>
  <c r="AB61" i="1" a="1"/>
  <c r="AB61" i="1" s="1"/>
  <c r="AG61" i="1" a="1"/>
  <c r="AG61" i="1"/>
  <c r="AH61" i="1" a="1"/>
  <c r="AH61" i="1"/>
  <c r="AJ61" i="1" a="1"/>
  <c r="AJ61" i="1" s="1"/>
  <c r="AK61" i="1" a="1"/>
  <c r="AK61" i="1"/>
  <c r="AL61" i="1" a="1"/>
  <c r="AL61" i="1"/>
  <c r="AM61" i="1" a="1"/>
  <c r="AM61" i="1" s="1"/>
  <c r="AN61" i="1" a="1"/>
  <c r="AN61" i="1" s="1"/>
  <c r="AO61" i="1" a="1"/>
  <c r="AO61" i="1" s="1"/>
  <c r="C62" i="1" a="1"/>
  <c r="C62" i="1" s="1"/>
  <c r="D62" i="1" a="1"/>
  <c r="D62" i="1" s="1"/>
  <c r="E62" i="1" a="1"/>
  <c r="E62" i="1" s="1"/>
  <c r="F62" i="1" a="1"/>
  <c r="F62" i="1" s="1"/>
  <c r="G62" i="1" a="1"/>
  <c r="G62" i="1" s="1"/>
  <c r="H62" i="1" a="1"/>
  <c r="H62" i="1" s="1"/>
  <c r="I62" i="1" a="1"/>
  <c r="I62" i="1" s="1"/>
  <c r="J62" i="1" a="1"/>
  <c r="J62" i="1" s="1"/>
  <c r="K62" i="1" a="1"/>
  <c r="K62" i="1" s="1"/>
  <c r="L62" i="1" a="1"/>
  <c r="L62" i="1" s="1"/>
  <c r="M62" i="1" a="1"/>
  <c r="M62" i="1" s="1"/>
  <c r="N62" i="1" a="1"/>
  <c r="N62" i="1" s="1"/>
  <c r="O62" i="1" a="1"/>
  <c r="O62" i="1" s="1"/>
  <c r="P62" i="1" a="1"/>
  <c r="P62" i="1" s="1"/>
  <c r="Q62" i="1" a="1"/>
  <c r="Q62" i="1" s="1"/>
  <c r="R62" i="1" a="1"/>
  <c r="R62" i="1" s="1"/>
  <c r="S62" i="1" a="1"/>
  <c r="S62" i="1" s="1"/>
  <c r="T62" i="1" a="1"/>
  <c r="T62" i="1" s="1"/>
  <c r="U62" i="1" a="1"/>
  <c r="U62" i="1" s="1"/>
  <c r="V62" i="1" a="1"/>
  <c r="V62" i="1" s="1"/>
  <c r="W62" i="1" a="1"/>
  <c r="W62" i="1" s="1"/>
  <c r="X62" i="1" a="1"/>
  <c r="X62" i="1" s="1"/>
  <c r="Y62" i="1" a="1"/>
  <c r="Y62" i="1"/>
  <c r="Z62" i="1" a="1"/>
  <c r="Z62" i="1"/>
  <c r="AA62" i="1" a="1"/>
  <c r="AA62" i="1" s="1"/>
  <c r="AB62" i="1" a="1"/>
  <c r="AB62" i="1" s="1"/>
  <c r="AG62" i="1" a="1"/>
  <c r="AG62" i="1"/>
  <c r="AH62" i="1" a="1"/>
  <c r="AH62" i="1"/>
  <c r="AJ62" i="1" a="1"/>
  <c r="AJ62" i="1" s="1"/>
  <c r="AK62" i="1" a="1"/>
  <c r="AK62" i="1"/>
  <c r="AL62" i="1" a="1"/>
  <c r="AL62" i="1"/>
  <c r="AM62" i="1" a="1"/>
  <c r="AM62" i="1" s="1"/>
  <c r="AN62" i="1" a="1"/>
  <c r="AN62" i="1" s="1"/>
  <c r="AO62" i="1" a="1"/>
  <c r="AO62" i="1" s="1"/>
  <c r="C63" i="1" a="1"/>
  <c r="C63" i="1" s="1"/>
  <c r="D63" i="1" a="1"/>
  <c r="D63" i="1" s="1"/>
  <c r="E63" i="1" a="1"/>
  <c r="E63" i="1" s="1"/>
  <c r="F63" i="1" a="1"/>
  <c r="F63" i="1" s="1"/>
  <c r="G63" i="1" a="1"/>
  <c r="G63" i="1" s="1"/>
  <c r="H63" i="1" a="1"/>
  <c r="H63" i="1" s="1"/>
  <c r="I63" i="1" a="1"/>
  <c r="I63" i="1" s="1"/>
  <c r="J63" i="1" a="1"/>
  <c r="J63" i="1" s="1"/>
  <c r="K63" i="1" a="1"/>
  <c r="K63" i="1" s="1"/>
  <c r="L63" i="1" a="1"/>
  <c r="L63" i="1" s="1"/>
  <c r="M63" i="1" a="1"/>
  <c r="M63" i="1" s="1"/>
  <c r="N63" i="1" a="1"/>
  <c r="N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T63" i="1" a="1"/>
  <c r="T63" i="1" s="1"/>
  <c r="U63" i="1" a="1"/>
  <c r="U63" i="1" s="1"/>
  <c r="V63" i="1" a="1"/>
  <c r="V63" i="1" s="1"/>
  <c r="W63" i="1" a="1"/>
  <c r="W63" i="1" s="1"/>
  <c r="X63" i="1" a="1"/>
  <c r="X63" i="1" s="1"/>
  <c r="Y63" i="1" a="1"/>
  <c r="Y63" i="1"/>
  <c r="Z63" i="1" a="1"/>
  <c r="Z63" i="1"/>
  <c r="AA63" i="1" a="1"/>
  <c r="AA63" i="1" s="1"/>
  <c r="AB63" i="1" a="1"/>
  <c r="AB63" i="1" s="1"/>
  <c r="AG63" i="1" a="1"/>
  <c r="AG63" i="1"/>
  <c r="AH63" i="1" a="1"/>
  <c r="AH63" i="1"/>
  <c r="AJ63" i="1" a="1"/>
  <c r="AJ63" i="1" s="1"/>
  <c r="AK63" i="1" a="1"/>
  <c r="AK63" i="1"/>
  <c r="AL63" i="1" a="1"/>
  <c r="AL63" i="1"/>
  <c r="AM63" i="1" a="1"/>
  <c r="AM63" i="1" s="1"/>
  <c r="AN63" i="1" a="1"/>
  <c r="AN63" i="1" s="1"/>
  <c r="AO63" i="1" a="1"/>
  <c r="AO63" i="1" s="1"/>
  <c r="C64" i="1" a="1"/>
  <c r="C64" i="1" s="1"/>
  <c r="D64" i="1" a="1"/>
  <c r="D64" i="1" s="1"/>
  <c r="E64" i="1" a="1"/>
  <c r="E64" i="1" s="1"/>
  <c r="F64" i="1" a="1"/>
  <c r="F64" i="1" s="1"/>
  <c r="G64" i="1" a="1"/>
  <c r="G64" i="1" s="1"/>
  <c r="H64" i="1" a="1"/>
  <c r="H64" i="1" s="1"/>
  <c r="I64" i="1" a="1"/>
  <c r="I64" i="1" s="1"/>
  <c r="J64" i="1" a="1"/>
  <c r="J64" i="1" s="1"/>
  <c r="K64" i="1" a="1"/>
  <c r="K64" i="1" s="1"/>
  <c r="L64" i="1" a="1"/>
  <c r="L64" i="1" s="1"/>
  <c r="M64" i="1" a="1"/>
  <c r="M64" i="1" s="1"/>
  <c r="N64" i="1" a="1"/>
  <c r="N64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/>
  <c r="Z64" i="1" a="1"/>
  <c r="Z64" i="1"/>
  <c r="AA64" i="1" a="1"/>
  <c r="AA64" i="1" s="1"/>
  <c r="AB64" i="1" a="1"/>
  <c r="AB64" i="1" s="1"/>
  <c r="AG64" i="1" a="1"/>
  <c r="AG64" i="1"/>
  <c r="AH64" i="1" a="1"/>
  <c r="AH64" i="1"/>
  <c r="AJ64" i="1" a="1"/>
  <c r="AJ64" i="1" s="1"/>
  <c r="AK64" i="1" a="1"/>
  <c r="AK64" i="1"/>
  <c r="AL64" i="1" a="1"/>
  <c r="AL64" i="1"/>
  <c r="AM64" i="1" a="1"/>
  <c r="AM64" i="1" s="1"/>
  <c r="AN64" i="1" a="1"/>
  <c r="AN64" i="1" s="1"/>
  <c r="AO64" i="1" a="1"/>
  <c r="AO64" i="1" s="1"/>
  <c r="C65" i="1" a="1"/>
  <c r="C65" i="1" s="1"/>
  <c r="D65" i="1" a="1"/>
  <c r="D65" i="1" s="1"/>
  <c r="E65" i="1" a="1"/>
  <c r="E65" i="1" s="1"/>
  <c r="F65" i="1" a="1"/>
  <c r="F65" i="1" s="1"/>
  <c r="G65" i="1" a="1"/>
  <c r="G65" i="1" s="1"/>
  <c r="H65" i="1" a="1"/>
  <c r="H65" i="1" s="1"/>
  <c r="I65" i="1" a="1"/>
  <c r="I65" i="1" s="1"/>
  <c r="J65" i="1" a="1"/>
  <c r="J65" i="1" s="1"/>
  <c r="K65" i="1" a="1"/>
  <c r="K65" i="1" s="1"/>
  <c r="L65" i="1" a="1"/>
  <c r="L65" i="1" s="1"/>
  <c r="M65" i="1" a="1"/>
  <c r="M65" i="1" s="1"/>
  <c r="N65" i="1" a="1"/>
  <c r="N65" i="1" s="1"/>
  <c r="O65" i="1" a="1"/>
  <c r="O65" i="1" s="1"/>
  <c r="P65" i="1" a="1"/>
  <c r="P65" i="1" s="1"/>
  <c r="Q65" i="1" a="1"/>
  <c r="Q65" i="1" s="1"/>
  <c r="R65" i="1" a="1"/>
  <c r="R65" i="1" s="1"/>
  <c r="S65" i="1" a="1"/>
  <c r="S65" i="1" s="1"/>
  <c r="T65" i="1" a="1"/>
  <c r="T65" i="1" s="1"/>
  <c r="U65" i="1" a="1"/>
  <c r="U65" i="1" s="1"/>
  <c r="V65" i="1" a="1"/>
  <c r="V65" i="1" s="1"/>
  <c r="W65" i="1" a="1"/>
  <c r="W65" i="1" s="1"/>
  <c r="X65" i="1" a="1"/>
  <c r="X65" i="1" s="1"/>
  <c r="Y65" i="1" a="1"/>
  <c r="Y65" i="1"/>
  <c r="Z65" i="1" a="1"/>
  <c r="Z65" i="1"/>
  <c r="AA65" i="1" a="1"/>
  <c r="AA65" i="1" s="1"/>
  <c r="AB65" i="1" a="1"/>
  <c r="AB65" i="1" s="1"/>
  <c r="AG65" i="1" a="1"/>
  <c r="AG65" i="1"/>
  <c r="AH65" i="1" a="1"/>
  <c r="AH65" i="1"/>
  <c r="AJ65" i="1" a="1"/>
  <c r="AJ65" i="1" s="1"/>
  <c r="AK65" i="1" a="1"/>
  <c r="AK65" i="1"/>
  <c r="AL65" i="1" a="1"/>
  <c r="AL65" i="1"/>
  <c r="AM65" i="1" a="1"/>
  <c r="AM65" i="1" s="1"/>
  <c r="AN65" i="1" a="1"/>
  <c r="AN65" i="1" s="1"/>
  <c r="AO65" i="1" a="1"/>
  <c r="AO65" i="1" s="1"/>
  <c r="C66" i="1" a="1"/>
  <c r="C66" i="1"/>
  <c r="D66" i="1" a="1"/>
  <c r="D66" i="1" s="1"/>
  <c r="E66" i="1" a="1"/>
  <c r="E66" i="1" s="1"/>
  <c r="F66" i="1" a="1"/>
  <c r="F66" i="1" s="1"/>
  <c r="G66" i="1" a="1"/>
  <c r="G66" i="1" s="1"/>
  <c r="H66" i="1" a="1"/>
  <c r="H66" i="1" s="1"/>
  <c r="I66" i="1" a="1"/>
  <c r="I66" i="1" s="1"/>
  <c r="J66" i="1" a="1"/>
  <c r="J66" i="1" s="1"/>
  <c r="K66" i="1" a="1"/>
  <c r="K66" i="1" s="1"/>
  <c r="L66" i="1" a="1"/>
  <c r="L66" i="1" s="1"/>
  <c r="M66" i="1" a="1"/>
  <c r="M66" i="1" s="1"/>
  <c r="N66" i="1" a="1"/>
  <c r="N66" i="1" s="1"/>
  <c r="O66" i="1" a="1"/>
  <c r="O66" i="1" s="1"/>
  <c r="P66" i="1" a="1"/>
  <c r="P66" i="1" s="1"/>
  <c r="Q66" i="1" a="1"/>
  <c r="Q66" i="1" s="1"/>
  <c r="R66" i="1" a="1"/>
  <c r="R66" i="1" s="1"/>
  <c r="S66" i="1" a="1"/>
  <c r="S66" i="1" s="1"/>
  <c r="T66" i="1" a="1"/>
  <c r="T66" i="1" s="1"/>
  <c r="U66" i="1" a="1"/>
  <c r="U66" i="1" s="1"/>
  <c r="V66" i="1" a="1"/>
  <c r="V66" i="1" s="1"/>
  <c r="W66" i="1" a="1"/>
  <c r="W66" i="1" s="1"/>
  <c r="X66" i="1" a="1"/>
  <c r="X66" i="1" s="1"/>
  <c r="Y66" i="1" a="1"/>
  <c r="Y66" i="1"/>
  <c r="Z66" i="1" a="1"/>
  <c r="Z66" i="1"/>
  <c r="AA66" i="1" a="1"/>
  <c r="AA66" i="1" s="1"/>
  <c r="AB66" i="1" a="1"/>
  <c r="AB66" i="1" s="1"/>
  <c r="AG66" i="1" a="1"/>
  <c r="AG66" i="1"/>
  <c r="AH66" i="1" a="1"/>
  <c r="AH66" i="1"/>
  <c r="AJ66" i="1" a="1"/>
  <c r="AJ66" i="1" s="1"/>
  <c r="AK66" i="1" a="1"/>
  <c r="AK66" i="1"/>
  <c r="AL66" i="1" a="1"/>
  <c r="AL66" i="1"/>
  <c r="AM66" i="1" a="1"/>
  <c r="AM66" i="1" s="1"/>
  <c r="AN66" i="1" a="1"/>
  <c r="AN66" i="1" s="1"/>
  <c r="AO66" i="1" a="1"/>
  <c r="AO66" i="1" s="1"/>
  <c r="C67" i="1" a="1"/>
  <c r="C67" i="1" s="1"/>
  <c r="D67" i="1" a="1"/>
  <c r="D67" i="1" s="1"/>
  <c r="E67" i="1" a="1"/>
  <c r="E67" i="1" s="1"/>
  <c r="F67" i="1" a="1"/>
  <c r="F67" i="1" s="1"/>
  <c r="G67" i="1" a="1"/>
  <c r="G67" i="1" s="1"/>
  <c r="H67" i="1" a="1"/>
  <c r="H67" i="1" s="1"/>
  <c r="I67" i="1" a="1"/>
  <c r="I67" i="1" s="1"/>
  <c r="J67" i="1" a="1"/>
  <c r="J67" i="1" s="1"/>
  <c r="K67" i="1" a="1"/>
  <c r="K67" i="1" s="1"/>
  <c r="L67" i="1" a="1"/>
  <c r="L67" i="1" s="1"/>
  <c r="M67" i="1" a="1"/>
  <c r="M67" i="1" s="1"/>
  <c r="N67" i="1" a="1"/>
  <c r="N67" i="1" s="1"/>
  <c r="O67" i="1" a="1"/>
  <c r="O67" i="1" s="1"/>
  <c r="P67" i="1" a="1"/>
  <c r="P67" i="1" s="1"/>
  <c r="Q67" i="1" a="1"/>
  <c r="Q67" i="1" s="1"/>
  <c r="R67" i="1" a="1"/>
  <c r="R67" i="1" s="1"/>
  <c r="S67" i="1" a="1"/>
  <c r="S67" i="1"/>
  <c r="T67" i="1" a="1"/>
  <c r="T67" i="1" s="1"/>
  <c r="U67" i="1" a="1"/>
  <c r="U67" i="1" s="1"/>
  <c r="V67" i="1" a="1"/>
  <c r="V67" i="1" s="1"/>
  <c r="W67" i="1" a="1"/>
  <c r="W67" i="1" s="1"/>
  <c r="X67" i="1" a="1"/>
  <c r="X67" i="1" s="1"/>
  <c r="Y67" i="1" a="1"/>
  <c r="Y67" i="1"/>
  <c r="Z67" i="1" a="1"/>
  <c r="Z67" i="1"/>
  <c r="AA67" i="1" a="1"/>
  <c r="AA67" i="1" s="1"/>
  <c r="AB67" i="1" a="1"/>
  <c r="AB67" i="1" s="1"/>
  <c r="AG67" i="1" a="1"/>
  <c r="AG67" i="1"/>
  <c r="AH67" i="1" a="1"/>
  <c r="AH67" i="1"/>
  <c r="AJ67" i="1" a="1"/>
  <c r="AJ67" i="1" s="1"/>
  <c r="AK67" i="1" a="1"/>
  <c r="AK67" i="1"/>
  <c r="AL67" i="1" a="1"/>
  <c r="AL67" i="1"/>
  <c r="AM67" i="1" a="1"/>
  <c r="AM67" i="1" s="1"/>
  <c r="AN67" i="1" a="1"/>
  <c r="AN67" i="1" s="1"/>
  <c r="AO67" i="1" a="1"/>
  <c r="AO67" i="1" s="1"/>
  <c r="C68" i="1" a="1"/>
  <c r="C68" i="1" s="1"/>
  <c r="D68" i="1" a="1"/>
  <c r="D68" i="1" s="1"/>
  <c r="E68" i="1" a="1"/>
  <c r="E68" i="1" s="1"/>
  <c r="F68" i="1" a="1"/>
  <c r="F68" i="1" s="1"/>
  <c r="G68" i="1" a="1"/>
  <c r="G68" i="1" s="1"/>
  <c r="H68" i="1" a="1"/>
  <c r="H68" i="1" s="1"/>
  <c r="I68" i="1" a="1"/>
  <c r="I68" i="1" s="1"/>
  <c r="J68" i="1" a="1"/>
  <c r="J68" i="1" s="1"/>
  <c r="K68" i="1" a="1"/>
  <c r="K68" i="1" s="1"/>
  <c r="L68" i="1" a="1"/>
  <c r="L68" i="1" s="1"/>
  <c r="M68" i="1" a="1"/>
  <c r="M68" i="1" s="1"/>
  <c r="N68" i="1" a="1"/>
  <c r="N68" i="1" s="1"/>
  <c r="O68" i="1" a="1"/>
  <c r="O68" i="1" s="1"/>
  <c r="P68" i="1" a="1"/>
  <c r="P68" i="1" s="1"/>
  <c r="Q68" i="1" a="1"/>
  <c r="Q68" i="1" s="1"/>
  <c r="R68" i="1" a="1"/>
  <c r="R68" i="1" s="1"/>
  <c r="S68" i="1" a="1"/>
  <c r="S68" i="1" s="1"/>
  <c r="T68" i="1" a="1"/>
  <c r="T68" i="1" s="1"/>
  <c r="U68" i="1" a="1"/>
  <c r="U68" i="1" s="1"/>
  <c r="V68" i="1" a="1"/>
  <c r="V68" i="1" s="1"/>
  <c r="W68" i="1" a="1"/>
  <c r="W68" i="1" s="1"/>
  <c r="X68" i="1" a="1"/>
  <c r="X68" i="1" s="1"/>
  <c r="Y68" i="1" a="1"/>
  <c r="Y68" i="1"/>
  <c r="Z68" i="1" a="1"/>
  <c r="Z68" i="1"/>
  <c r="AA68" i="1" a="1"/>
  <c r="AA68" i="1" s="1"/>
  <c r="AB68" i="1" a="1"/>
  <c r="AB68" i="1" s="1"/>
  <c r="AG68" i="1" a="1"/>
  <c r="AG68" i="1"/>
  <c r="AH68" i="1" a="1"/>
  <c r="AH68" i="1"/>
  <c r="AJ68" i="1" a="1"/>
  <c r="AJ68" i="1" s="1"/>
  <c r="AK68" i="1" a="1"/>
  <c r="AK68" i="1"/>
  <c r="AL68" i="1" a="1"/>
  <c r="AL68" i="1"/>
  <c r="AM68" i="1" a="1"/>
  <c r="AM68" i="1" s="1"/>
  <c r="AN68" i="1" a="1"/>
  <c r="AN68" i="1" s="1"/>
  <c r="AO68" i="1" a="1"/>
  <c r="AO68" i="1" s="1"/>
  <c r="C69" i="1" a="1"/>
  <c r="C69" i="1" s="1"/>
  <c r="D69" i="1" a="1"/>
  <c r="D69" i="1" s="1"/>
  <c r="E69" i="1" a="1"/>
  <c r="E69" i="1" s="1"/>
  <c r="F69" i="1" a="1"/>
  <c r="F69" i="1" s="1"/>
  <c r="G69" i="1" a="1"/>
  <c r="G69" i="1" s="1"/>
  <c r="H69" i="1" a="1"/>
  <c r="H69" i="1" s="1"/>
  <c r="I69" i="1" a="1"/>
  <c r="I69" i="1" s="1"/>
  <c r="J69" i="1" a="1"/>
  <c r="J69" i="1" s="1"/>
  <c r="K69" i="1" a="1"/>
  <c r="K69" i="1" s="1"/>
  <c r="L69" i="1" a="1"/>
  <c r="L69" i="1" s="1"/>
  <c r="M69" i="1" a="1"/>
  <c r="M69" i="1" s="1"/>
  <c r="N69" i="1" a="1"/>
  <c r="N69" i="1" s="1"/>
  <c r="O69" i="1" a="1"/>
  <c r="O69" i="1" s="1"/>
  <c r="P69" i="1" a="1"/>
  <c r="P69" i="1" s="1"/>
  <c r="Q69" i="1" a="1"/>
  <c r="Q69" i="1" s="1"/>
  <c r="R69" i="1" a="1"/>
  <c r="R69" i="1" s="1"/>
  <c r="S69" i="1" a="1"/>
  <c r="S69" i="1"/>
  <c r="T69" i="1" a="1"/>
  <c r="T69" i="1" s="1"/>
  <c r="U69" i="1" a="1"/>
  <c r="U69" i="1" s="1"/>
  <c r="V69" i="1" a="1"/>
  <c r="V69" i="1" s="1"/>
  <c r="W69" i="1" a="1"/>
  <c r="W69" i="1" s="1"/>
  <c r="X69" i="1" a="1"/>
  <c r="X69" i="1" s="1"/>
  <c r="Y69" i="1" a="1"/>
  <c r="Y69" i="1"/>
  <c r="Z69" i="1" a="1"/>
  <c r="Z69" i="1"/>
  <c r="AA69" i="1" a="1"/>
  <c r="AA69" i="1" s="1"/>
  <c r="AB69" i="1" a="1"/>
  <c r="AB69" i="1" s="1"/>
  <c r="AG69" i="1" a="1"/>
  <c r="AG69" i="1"/>
  <c r="AH69" i="1" a="1"/>
  <c r="AH69" i="1"/>
  <c r="AJ69" i="1" a="1"/>
  <c r="AJ69" i="1" s="1"/>
  <c r="AK69" i="1" a="1"/>
  <c r="AK69" i="1"/>
  <c r="AL69" i="1" a="1"/>
  <c r="AL69" i="1"/>
  <c r="AM69" i="1" a="1"/>
  <c r="AM69" i="1" s="1"/>
  <c r="AN69" i="1" a="1"/>
  <c r="AN69" i="1" s="1"/>
  <c r="AO69" i="1" a="1"/>
  <c r="AO69" i="1" s="1"/>
  <c r="C70" i="1" a="1"/>
  <c r="C70" i="1" s="1"/>
  <c r="D70" i="1" a="1"/>
  <c r="D70" i="1" s="1"/>
  <c r="E70" i="1" a="1"/>
  <c r="E70" i="1" s="1"/>
  <c r="F70" i="1" a="1"/>
  <c r="F70" i="1" s="1"/>
  <c r="G70" i="1" a="1"/>
  <c r="G70" i="1" s="1"/>
  <c r="H70" i="1" a="1"/>
  <c r="H70" i="1" s="1"/>
  <c r="I70" i="1" a="1"/>
  <c r="I70" i="1" s="1"/>
  <c r="J70" i="1" a="1"/>
  <c r="J70" i="1" s="1"/>
  <c r="K70" i="1" a="1"/>
  <c r="K70" i="1" s="1"/>
  <c r="L70" i="1" a="1"/>
  <c r="L70" i="1" s="1"/>
  <c r="M70" i="1" a="1"/>
  <c r="M70" i="1" s="1"/>
  <c r="N70" i="1" a="1"/>
  <c r="N70" i="1" s="1"/>
  <c r="O70" i="1" a="1"/>
  <c r="O70" i="1" s="1"/>
  <c r="P70" i="1" a="1"/>
  <c r="P70" i="1" s="1"/>
  <c r="Q70" i="1" a="1"/>
  <c r="Q70" i="1" s="1"/>
  <c r="R70" i="1" a="1"/>
  <c r="R70" i="1" s="1"/>
  <c r="S70" i="1" a="1"/>
  <c r="S70" i="1" s="1"/>
  <c r="T70" i="1" a="1"/>
  <c r="T70" i="1" s="1"/>
  <c r="U70" i="1" a="1"/>
  <c r="U70" i="1" s="1"/>
  <c r="V70" i="1" a="1"/>
  <c r="V70" i="1" s="1"/>
  <c r="W70" i="1" a="1"/>
  <c r="W70" i="1" s="1"/>
  <c r="X70" i="1" a="1"/>
  <c r="X70" i="1" s="1"/>
  <c r="Y70" i="1" a="1"/>
  <c r="Y70" i="1"/>
  <c r="Z70" i="1" a="1"/>
  <c r="Z70" i="1"/>
  <c r="AA70" i="1" a="1"/>
  <c r="AA70" i="1" s="1"/>
  <c r="AB70" i="1" a="1"/>
  <c r="AB70" i="1" s="1"/>
  <c r="AG70" i="1" a="1"/>
  <c r="AG70" i="1"/>
  <c r="AH70" i="1" a="1"/>
  <c r="AH70" i="1"/>
  <c r="AJ70" i="1" a="1"/>
  <c r="AJ70" i="1" s="1"/>
  <c r="AK70" i="1" a="1"/>
  <c r="AK70" i="1"/>
  <c r="AL70" i="1" a="1"/>
  <c r="AL70" i="1"/>
  <c r="AM70" i="1" a="1"/>
  <c r="AM70" i="1" s="1"/>
  <c r="AN70" i="1" a="1"/>
  <c r="AN70" i="1" s="1"/>
  <c r="AO70" i="1" a="1"/>
  <c r="AO70" i="1" s="1"/>
  <c r="C71" i="1" a="1"/>
  <c r="C71" i="1" s="1"/>
  <c r="D71" i="1" a="1"/>
  <c r="D71" i="1" s="1"/>
  <c r="E71" i="1" a="1"/>
  <c r="E71" i="1" s="1"/>
  <c r="F71" i="1" a="1"/>
  <c r="F71" i="1" s="1"/>
  <c r="G71" i="1" a="1"/>
  <c r="G71" i="1" s="1"/>
  <c r="H71" i="1" a="1"/>
  <c r="H71" i="1" s="1"/>
  <c r="I71" i="1" a="1"/>
  <c r="I71" i="1" s="1"/>
  <c r="J71" i="1" a="1"/>
  <c r="J71" i="1" s="1"/>
  <c r="K71" i="1" a="1"/>
  <c r="K71" i="1" s="1"/>
  <c r="L71" i="1" a="1"/>
  <c r="L71" i="1" s="1"/>
  <c r="M71" i="1" a="1"/>
  <c r="M71" i="1" s="1"/>
  <c r="N71" i="1" a="1"/>
  <c r="N71" i="1" s="1"/>
  <c r="O71" i="1" a="1"/>
  <c r="O71" i="1" s="1"/>
  <c r="P71" i="1" a="1"/>
  <c r="P71" i="1" s="1"/>
  <c r="Q71" i="1" a="1"/>
  <c r="Q71" i="1" s="1"/>
  <c r="R71" i="1" a="1"/>
  <c r="R71" i="1" s="1"/>
  <c r="S71" i="1" a="1"/>
  <c r="S71" i="1"/>
  <c r="T71" i="1" a="1"/>
  <c r="T71" i="1" s="1"/>
  <c r="U71" i="1" a="1"/>
  <c r="U71" i="1" s="1"/>
  <c r="V71" i="1" a="1"/>
  <c r="V71" i="1" s="1"/>
  <c r="W71" i="1" a="1"/>
  <c r="W71" i="1" s="1"/>
  <c r="X71" i="1" a="1"/>
  <c r="X71" i="1" s="1"/>
  <c r="Y71" i="1" a="1"/>
  <c r="Y71" i="1"/>
  <c r="Z71" i="1" a="1"/>
  <c r="Z71" i="1"/>
  <c r="AA71" i="1" a="1"/>
  <c r="AA71" i="1" s="1"/>
  <c r="AB71" i="1" a="1"/>
  <c r="AB71" i="1" s="1"/>
  <c r="AG71" i="1" a="1"/>
  <c r="AG71" i="1"/>
  <c r="AH71" i="1" a="1"/>
  <c r="AH71" i="1"/>
  <c r="AJ71" i="1" a="1"/>
  <c r="AJ71" i="1" s="1"/>
  <c r="AK71" i="1" a="1"/>
  <c r="AK71" i="1"/>
  <c r="AL71" i="1" a="1"/>
  <c r="AL71" i="1"/>
  <c r="AM71" i="1" a="1"/>
  <c r="AM71" i="1" s="1"/>
  <c r="AN71" i="1" a="1"/>
  <c r="AN71" i="1" s="1"/>
  <c r="AO71" i="1" a="1"/>
  <c r="AO71" i="1" s="1"/>
  <c r="C72" i="1" a="1"/>
  <c r="C72" i="1" s="1"/>
  <c r="D72" i="1" a="1"/>
  <c r="D72" i="1" s="1"/>
  <c r="E72" i="1" a="1"/>
  <c r="E72" i="1" s="1"/>
  <c r="F72" i="1" a="1"/>
  <c r="F72" i="1" s="1"/>
  <c r="G72" i="1" a="1"/>
  <c r="G72" i="1" s="1"/>
  <c r="H72" i="1" a="1"/>
  <c r="H72" i="1" s="1"/>
  <c r="I72" i="1" a="1"/>
  <c r="I72" i="1" s="1"/>
  <c r="J72" i="1" a="1"/>
  <c r="J72" i="1" s="1"/>
  <c r="K72" i="1" a="1"/>
  <c r="K72" i="1" s="1"/>
  <c r="L72" i="1" a="1"/>
  <c r="L72" i="1" s="1"/>
  <c r="M72" i="1" a="1"/>
  <c r="M72" i="1" s="1"/>
  <c r="N72" i="1" a="1"/>
  <c r="N72" i="1" s="1"/>
  <c r="O72" i="1" a="1"/>
  <c r="O72" i="1" s="1"/>
  <c r="P72" i="1" a="1"/>
  <c r="P72" i="1" s="1"/>
  <c r="Q72" i="1" a="1"/>
  <c r="Q72" i="1" s="1"/>
  <c r="R72" i="1" a="1"/>
  <c r="R72" i="1" s="1"/>
  <c r="S72" i="1" a="1"/>
  <c r="S72" i="1" s="1"/>
  <c r="T72" i="1" a="1"/>
  <c r="T72" i="1" s="1"/>
  <c r="U72" i="1" a="1"/>
  <c r="U72" i="1" s="1"/>
  <c r="V72" i="1" a="1"/>
  <c r="V72" i="1" s="1"/>
  <c r="W72" i="1" a="1"/>
  <c r="W72" i="1" s="1"/>
  <c r="X72" i="1" a="1"/>
  <c r="X72" i="1" s="1"/>
  <c r="Y72" i="1" a="1"/>
  <c r="Y72" i="1"/>
  <c r="Z72" i="1" a="1"/>
  <c r="Z72" i="1"/>
  <c r="AA72" i="1" a="1"/>
  <c r="AA72" i="1" s="1"/>
  <c r="AB72" i="1" a="1"/>
  <c r="AB72" i="1" s="1"/>
  <c r="AG72" i="1" a="1"/>
  <c r="AG72" i="1"/>
  <c r="AH72" i="1" a="1"/>
  <c r="AH72" i="1"/>
  <c r="AJ72" i="1" a="1"/>
  <c r="AJ72" i="1" s="1"/>
  <c r="AK72" i="1" a="1"/>
  <c r="AK72" i="1"/>
  <c r="AL72" i="1" a="1"/>
  <c r="AL72" i="1"/>
  <c r="AM72" i="1" a="1"/>
  <c r="AM72" i="1" s="1"/>
  <c r="AN72" i="1" a="1"/>
  <c r="AN72" i="1" s="1"/>
  <c r="AO72" i="1" a="1"/>
  <c r="AO72" i="1" s="1"/>
  <c r="C73" i="1" a="1"/>
  <c r="C73" i="1" s="1"/>
  <c r="D73" i="1" a="1"/>
  <c r="D73" i="1" s="1"/>
  <c r="E73" i="1" a="1"/>
  <c r="E73" i="1" s="1"/>
  <c r="F73" i="1" a="1"/>
  <c r="F73" i="1" s="1"/>
  <c r="G73" i="1" a="1"/>
  <c r="G73" i="1" s="1"/>
  <c r="H73" i="1" a="1"/>
  <c r="H73" i="1" s="1"/>
  <c r="I73" i="1" a="1"/>
  <c r="I73" i="1" s="1"/>
  <c r="J73" i="1" a="1"/>
  <c r="J73" i="1" s="1"/>
  <c r="K73" i="1" a="1"/>
  <c r="K73" i="1" s="1"/>
  <c r="L73" i="1" a="1"/>
  <c r="L73" i="1" s="1"/>
  <c r="M73" i="1" a="1"/>
  <c r="M73" i="1" s="1"/>
  <c r="N73" i="1" a="1"/>
  <c r="N73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V73" i="1" a="1"/>
  <c r="V73" i="1" s="1"/>
  <c r="W73" i="1" a="1"/>
  <c r="W73" i="1" s="1"/>
  <c r="X73" i="1" a="1"/>
  <c r="X73" i="1" s="1"/>
  <c r="Y73" i="1" a="1"/>
  <c r="Y73" i="1"/>
  <c r="Z73" i="1" a="1"/>
  <c r="Z73" i="1"/>
  <c r="AA73" i="1" a="1"/>
  <c r="AA73" i="1" s="1"/>
  <c r="AB73" i="1" a="1"/>
  <c r="AB73" i="1" s="1"/>
  <c r="AG73" i="1" a="1"/>
  <c r="AG73" i="1"/>
  <c r="AH73" i="1" a="1"/>
  <c r="AH73" i="1"/>
  <c r="AJ73" i="1" a="1"/>
  <c r="AJ73" i="1" s="1"/>
  <c r="AK73" i="1" a="1"/>
  <c r="AK73" i="1"/>
  <c r="AL73" i="1" a="1"/>
  <c r="AL73" i="1"/>
  <c r="AM73" i="1" a="1"/>
  <c r="AM73" i="1" s="1"/>
  <c r="AN73" i="1" a="1"/>
  <c r="AN73" i="1" s="1"/>
  <c r="AO73" i="1" a="1"/>
  <c r="AO73" i="1" s="1"/>
  <c r="C74" i="1" a="1"/>
  <c r="C74" i="1" s="1"/>
  <c r="D74" i="1" a="1"/>
  <c r="D74" i="1" s="1"/>
  <c r="E74" i="1" a="1"/>
  <c r="E74" i="1" s="1"/>
  <c r="F74" i="1" a="1"/>
  <c r="F74" i="1" s="1"/>
  <c r="G74" i="1" a="1"/>
  <c r="G74" i="1" s="1"/>
  <c r="H74" i="1" a="1"/>
  <c r="H74" i="1" s="1"/>
  <c r="I74" i="1" a="1"/>
  <c r="I74" i="1" s="1"/>
  <c r="J74" i="1" a="1"/>
  <c r="J74" i="1" s="1"/>
  <c r="K74" i="1" a="1"/>
  <c r="K74" i="1" s="1"/>
  <c r="L74" i="1" a="1"/>
  <c r="L74" i="1" s="1"/>
  <c r="M74" i="1" a="1"/>
  <c r="M74" i="1" s="1"/>
  <c r="N74" i="1" a="1"/>
  <c r="N74" i="1" s="1"/>
  <c r="O74" i="1" a="1"/>
  <c r="O74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V74" i="1" a="1"/>
  <c r="V74" i="1" s="1"/>
  <c r="W74" i="1" a="1"/>
  <c r="W74" i="1" s="1"/>
  <c r="X74" i="1" a="1"/>
  <c r="X74" i="1" s="1"/>
  <c r="Y74" i="1" a="1"/>
  <c r="Y74" i="1"/>
  <c r="Z74" i="1" a="1"/>
  <c r="Z74" i="1"/>
  <c r="AA74" i="1" a="1"/>
  <c r="AA74" i="1" s="1"/>
  <c r="AB74" i="1" a="1"/>
  <c r="AB74" i="1" s="1"/>
  <c r="AG74" i="1" a="1"/>
  <c r="AG74" i="1"/>
  <c r="AH74" i="1" a="1"/>
  <c r="AH74" i="1"/>
  <c r="AJ74" i="1" a="1"/>
  <c r="AJ74" i="1" s="1"/>
  <c r="AK74" i="1" a="1"/>
  <c r="AK74" i="1"/>
  <c r="AL74" i="1" a="1"/>
  <c r="AL74" i="1"/>
  <c r="AM74" i="1" a="1"/>
  <c r="AM74" i="1" s="1"/>
  <c r="AN74" i="1" a="1"/>
  <c r="AN74" i="1" s="1"/>
  <c r="AO74" i="1" a="1"/>
  <c r="AO74" i="1" s="1"/>
  <c r="C75" i="1" a="1"/>
  <c r="C75" i="1" s="1"/>
  <c r="D75" i="1" a="1"/>
  <c r="D75" i="1" s="1"/>
  <c r="E75" i="1" a="1"/>
  <c r="E75" i="1" s="1"/>
  <c r="F75" i="1" a="1"/>
  <c r="F75" i="1" s="1"/>
  <c r="G75" i="1" a="1"/>
  <c r="G75" i="1" s="1"/>
  <c r="H75" i="1" a="1"/>
  <c r="H75" i="1" s="1"/>
  <c r="I75" i="1" a="1"/>
  <c r="I75" i="1" s="1"/>
  <c r="J75" i="1" a="1"/>
  <c r="J75" i="1" s="1"/>
  <c r="K75" i="1" a="1"/>
  <c r="K75" i="1" s="1"/>
  <c r="L75" i="1" a="1"/>
  <c r="L75" i="1" s="1"/>
  <c r="M75" i="1" a="1"/>
  <c r="M75" i="1" s="1"/>
  <c r="N75" i="1" a="1"/>
  <c r="N75" i="1" s="1"/>
  <c r="O75" i="1" a="1"/>
  <c r="O75" i="1" s="1"/>
  <c r="P75" i="1" a="1"/>
  <c r="P75" i="1" s="1"/>
  <c r="Q75" i="1" a="1"/>
  <c r="Q75" i="1" s="1"/>
  <c r="R75" i="1" a="1"/>
  <c r="R75" i="1" s="1"/>
  <c r="S75" i="1" a="1"/>
  <c r="S75" i="1" s="1"/>
  <c r="T75" i="1" a="1"/>
  <c r="T75" i="1" s="1"/>
  <c r="U75" i="1" a="1"/>
  <c r="U75" i="1" s="1"/>
  <c r="V75" i="1" a="1"/>
  <c r="V75" i="1" s="1"/>
  <c r="W75" i="1" a="1"/>
  <c r="W75" i="1" s="1"/>
  <c r="X75" i="1" a="1"/>
  <c r="X75" i="1" s="1"/>
  <c r="Y75" i="1" a="1"/>
  <c r="Y75" i="1"/>
  <c r="Z75" i="1" a="1"/>
  <c r="Z75" i="1"/>
  <c r="AA75" i="1" a="1"/>
  <c r="AA75" i="1" s="1"/>
  <c r="AB75" i="1" a="1"/>
  <c r="AB75" i="1" s="1"/>
  <c r="AG75" i="1" a="1"/>
  <c r="AG75" i="1"/>
  <c r="AH75" i="1" a="1"/>
  <c r="AH75" i="1"/>
  <c r="AJ75" i="1" a="1"/>
  <c r="AJ75" i="1" s="1"/>
  <c r="AK75" i="1" a="1"/>
  <c r="AK75" i="1"/>
  <c r="AL75" i="1" a="1"/>
  <c r="AL75" i="1"/>
  <c r="AM75" i="1" a="1"/>
  <c r="AM75" i="1" s="1"/>
  <c r="AN75" i="1" a="1"/>
  <c r="AN75" i="1" s="1"/>
  <c r="AO75" i="1" a="1"/>
  <c r="AO75" i="1" s="1"/>
  <c r="C76" i="1" a="1"/>
  <c r="C76" i="1" s="1"/>
  <c r="D76" i="1" a="1"/>
  <c r="D76" i="1" s="1"/>
  <c r="E76" i="1" a="1"/>
  <c r="E76" i="1" s="1"/>
  <c r="F76" i="1" a="1"/>
  <c r="F76" i="1" s="1"/>
  <c r="G76" i="1" a="1"/>
  <c r="G76" i="1" s="1"/>
  <c r="H76" i="1" a="1"/>
  <c r="H76" i="1" s="1"/>
  <c r="I76" i="1" a="1"/>
  <c r="I76" i="1" s="1"/>
  <c r="J76" i="1" a="1"/>
  <c r="J76" i="1" s="1"/>
  <c r="K76" i="1" a="1"/>
  <c r="K76" i="1" s="1"/>
  <c r="L76" i="1" a="1"/>
  <c r="L76" i="1" s="1"/>
  <c r="M76" i="1" a="1"/>
  <c r="M76" i="1" s="1"/>
  <c r="N76" i="1" a="1"/>
  <c r="N76" i="1" s="1"/>
  <c r="O76" i="1" a="1"/>
  <c r="O76" i="1" s="1"/>
  <c r="P76" i="1" a="1"/>
  <c r="P76" i="1" s="1"/>
  <c r="Q76" i="1" a="1"/>
  <c r="Q76" i="1" s="1"/>
  <c r="R76" i="1" a="1"/>
  <c r="R76" i="1" s="1"/>
  <c r="S76" i="1" a="1"/>
  <c r="S76" i="1" s="1"/>
  <c r="T76" i="1" a="1"/>
  <c r="T76" i="1" s="1"/>
  <c r="U76" i="1" a="1"/>
  <c r="U76" i="1" s="1"/>
  <c r="V76" i="1" a="1"/>
  <c r="V76" i="1" s="1"/>
  <c r="W76" i="1" a="1"/>
  <c r="W76" i="1" s="1"/>
  <c r="X76" i="1" a="1"/>
  <c r="X76" i="1" s="1"/>
  <c r="Y76" i="1" a="1"/>
  <c r="Y76" i="1"/>
  <c r="Z76" i="1" a="1"/>
  <c r="Z76" i="1"/>
  <c r="AA76" i="1" a="1"/>
  <c r="AA76" i="1" s="1"/>
  <c r="AB76" i="1" a="1"/>
  <c r="AB76" i="1" s="1"/>
  <c r="AG76" i="1" a="1"/>
  <c r="AG76" i="1"/>
  <c r="AH76" i="1" a="1"/>
  <c r="AH76" i="1"/>
  <c r="AJ76" i="1" a="1"/>
  <c r="AJ76" i="1" s="1"/>
  <c r="AK76" i="1" a="1"/>
  <c r="AK76" i="1"/>
  <c r="AL76" i="1" a="1"/>
  <c r="AL76" i="1"/>
  <c r="AM76" i="1" a="1"/>
  <c r="AM76" i="1" s="1"/>
  <c r="AN76" i="1" a="1"/>
  <c r="AN76" i="1" s="1"/>
  <c r="AO76" i="1" a="1"/>
  <c r="AO76" i="1" s="1"/>
  <c r="C77" i="1" a="1"/>
  <c r="C77" i="1" s="1"/>
  <c r="D77" i="1" a="1"/>
  <c r="D77" i="1" s="1"/>
  <c r="E77" i="1" a="1"/>
  <c r="E77" i="1" s="1"/>
  <c r="F77" i="1" a="1"/>
  <c r="F77" i="1" s="1"/>
  <c r="G77" i="1" a="1"/>
  <c r="G77" i="1" s="1"/>
  <c r="H77" i="1" a="1"/>
  <c r="H77" i="1" s="1"/>
  <c r="I77" i="1" a="1"/>
  <c r="I77" i="1" s="1"/>
  <c r="J77" i="1" a="1"/>
  <c r="J77" i="1" s="1"/>
  <c r="K77" i="1" a="1"/>
  <c r="K77" i="1" s="1"/>
  <c r="L77" i="1" a="1"/>
  <c r="L77" i="1" s="1"/>
  <c r="M77" i="1" a="1"/>
  <c r="M77" i="1" s="1"/>
  <c r="N77" i="1" a="1"/>
  <c r="N77" i="1" s="1"/>
  <c r="O77" i="1" a="1"/>
  <c r="O77" i="1" s="1"/>
  <c r="P77" i="1" a="1"/>
  <c r="P77" i="1" s="1"/>
  <c r="Q77" i="1" a="1"/>
  <c r="Q77" i="1" s="1"/>
  <c r="R77" i="1" a="1"/>
  <c r="R77" i="1" s="1"/>
  <c r="S77" i="1" a="1"/>
  <c r="S77" i="1"/>
  <c r="T77" i="1" a="1"/>
  <c r="T77" i="1" s="1"/>
  <c r="U77" i="1" a="1"/>
  <c r="U77" i="1" s="1"/>
  <c r="V77" i="1" a="1"/>
  <c r="V77" i="1" s="1"/>
  <c r="W77" i="1" a="1"/>
  <c r="W77" i="1" s="1"/>
  <c r="X77" i="1" a="1"/>
  <c r="X77" i="1" s="1"/>
  <c r="Y77" i="1" a="1"/>
  <c r="Y77" i="1"/>
  <c r="Z77" i="1" a="1"/>
  <c r="Z77" i="1"/>
  <c r="AA77" i="1" a="1"/>
  <c r="AA77" i="1" s="1"/>
  <c r="AB77" i="1" a="1"/>
  <c r="AB77" i="1" s="1"/>
  <c r="AG77" i="1" a="1"/>
  <c r="AG77" i="1"/>
  <c r="AH77" i="1" a="1"/>
  <c r="AH77" i="1"/>
  <c r="AJ77" i="1" a="1"/>
  <c r="AJ77" i="1" s="1"/>
  <c r="AK77" i="1" a="1"/>
  <c r="AK77" i="1"/>
  <c r="AL77" i="1" a="1"/>
  <c r="AL77" i="1"/>
  <c r="AM77" i="1" a="1"/>
  <c r="AM77" i="1" s="1"/>
  <c r="AN77" i="1" a="1"/>
  <c r="AN77" i="1" s="1"/>
  <c r="AO77" i="1" a="1"/>
  <c r="AO77" i="1" s="1"/>
  <c r="C78" i="1" a="1"/>
  <c r="C78" i="1" s="1"/>
  <c r="D78" i="1" a="1"/>
  <c r="D78" i="1" s="1"/>
  <c r="E78" i="1" a="1"/>
  <c r="E78" i="1" s="1"/>
  <c r="F78" i="1" a="1"/>
  <c r="F78" i="1" s="1"/>
  <c r="G78" i="1" a="1"/>
  <c r="G78" i="1" s="1"/>
  <c r="H78" i="1" a="1"/>
  <c r="H78" i="1" s="1"/>
  <c r="I78" i="1" a="1"/>
  <c r="I78" i="1" s="1"/>
  <c r="J78" i="1" a="1"/>
  <c r="J78" i="1" s="1"/>
  <c r="K78" i="1" a="1"/>
  <c r="K78" i="1" s="1"/>
  <c r="L78" i="1" a="1"/>
  <c r="L78" i="1" s="1"/>
  <c r="M78" i="1" a="1"/>
  <c r="M78" i="1" s="1"/>
  <c r="N78" i="1" a="1"/>
  <c r="N78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/>
  <c r="V78" i="1" a="1"/>
  <c r="V78" i="1" s="1"/>
  <c r="W78" i="1" a="1"/>
  <c r="W78" i="1" s="1"/>
  <c r="X78" i="1" a="1"/>
  <c r="X78" i="1" s="1"/>
  <c r="Y78" i="1" a="1"/>
  <c r="Y78" i="1"/>
  <c r="Z78" i="1" a="1"/>
  <c r="Z78" i="1"/>
  <c r="AA78" i="1" a="1"/>
  <c r="AA78" i="1" s="1"/>
  <c r="AB78" i="1" a="1"/>
  <c r="AB78" i="1" s="1"/>
  <c r="AG78" i="1" a="1"/>
  <c r="AG78" i="1"/>
  <c r="AH78" i="1" a="1"/>
  <c r="AH78" i="1"/>
  <c r="AJ78" i="1" a="1"/>
  <c r="AJ78" i="1" s="1"/>
  <c r="AK78" i="1" a="1"/>
  <c r="AK78" i="1"/>
  <c r="AL78" i="1" a="1"/>
  <c r="AL78" i="1"/>
  <c r="AM78" i="1" a="1"/>
  <c r="AM78" i="1" s="1"/>
  <c r="AN78" i="1" a="1"/>
  <c r="AN78" i="1" s="1"/>
  <c r="AO78" i="1" a="1"/>
  <c r="AO78" i="1" s="1"/>
  <c r="C79" i="1" a="1"/>
  <c r="C79" i="1" s="1"/>
  <c r="D79" i="1" a="1"/>
  <c r="D79" i="1" s="1"/>
  <c r="E79" i="1" a="1"/>
  <c r="E79" i="1" s="1"/>
  <c r="F79" i="1" a="1"/>
  <c r="F79" i="1" s="1"/>
  <c r="G79" i="1" a="1"/>
  <c r="G79" i="1" s="1"/>
  <c r="H79" i="1" a="1"/>
  <c r="H79" i="1" s="1"/>
  <c r="I79" i="1" a="1"/>
  <c r="I79" i="1" s="1"/>
  <c r="J79" i="1" a="1"/>
  <c r="J79" i="1" s="1"/>
  <c r="K79" i="1" a="1"/>
  <c r="K79" i="1" s="1"/>
  <c r="L79" i="1" a="1"/>
  <c r="L79" i="1" s="1"/>
  <c r="M79" i="1" a="1"/>
  <c r="M79" i="1" s="1"/>
  <c r="N79" i="1" a="1"/>
  <c r="N79" i="1" s="1"/>
  <c r="O79" i="1" a="1"/>
  <c r="O79" i="1" s="1"/>
  <c r="P79" i="1" a="1"/>
  <c r="P79" i="1" s="1"/>
  <c r="Q79" i="1" a="1"/>
  <c r="Q79" i="1" s="1"/>
  <c r="R79" i="1" a="1"/>
  <c r="R79" i="1" s="1"/>
  <c r="S79" i="1" a="1"/>
  <c r="S79" i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Y79" i="1" a="1"/>
  <c r="Y79" i="1"/>
  <c r="Z79" i="1" a="1"/>
  <c r="Z79" i="1"/>
  <c r="AA79" i="1" a="1"/>
  <c r="AA79" i="1" s="1"/>
  <c r="AB79" i="1" a="1"/>
  <c r="AB79" i="1" s="1"/>
  <c r="AG79" i="1" a="1"/>
  <c r="AG79" i="1"/>
  <c r="AH79" i="1" a="1"/>
  <c r="AH79" i="1"/>
  <c r="AJ79" i="1" a="1"/>
  <c r="AJ79" i="1" s="1"/>
  <c r="AK79" i="1" a="1"/>
  <c r="AK79" i="1"/>
  <c r="AL79" i="1" a="1"/>
  <c r="AL79" i="1"/>
  <c r="AM79" i="1" a="1"/>
  <c r="AM79" i="1" s="1"/>
  <c r="AN79" i="1" a="1"/>
  <c r="AN79" i="1" s="1"/>
  <c r="AO79" i="1" a="1"/>
  <c r="AO79" i="1" s="1"/>
  <c r="C80" i="1" a="1"/>
  <c r="C80" i="1" s="1"/>
  <c r="D80" i="1" a="1"/>
  <c r="D80" i="1" s="1"/>
  <c r="E80" i="1" a="1"/>
  <c r="E80" i="1" s="1"/>
  <c r="F80" i="1" a="1"/>
  <c r="F80" i="1" s="1"/>
  <c r="G80" i="1" a="1"/>
  <c r="G80" i="1" s="1"/>
  <c r="H80" i="1" a="1"/>
  <c r="H80" i="1" s="1"/>
  <c r="I80" i="1" a="1"/>
  <c r="I80" i="1" s="1"/>
  <c r="J80" i="1" a="1"/>
  <c r="J80" i="1" s="1"/>
  <c r="K80" i="1" a="1"/>
  <c r="K80" i="1" s="1"/>
  <c r="L80" i="1" a="1"/>
  <c r="L80" i="1" s="1"/>
  <c r="M80" i="1" a="1"/>
  <c r="M80" i="1" s="1"/>
  <c r="N80" i="1" a="1"/>
  <c r="N80" i="1" s="1"/>
  <c r="O80" i="1" a="1"/>
  <c r="O80" i="1" s="1"/>
  <c r="P80" i="1" a="1"/>
  <c r="P80" i="1" s="1"/>
  <c r="Q80" i="1" a="1"/>
  <c r="Q80" i="1" s="1"/>
  <c r="R80" i="1" a="1"/>
  <c r="R80" i="1" s="1"/>
  <c r="S80" i="1" a="1"/>
  <c r="S80" i="1" s="1"/>
  <c r="T80" i="1" a="1"/>
  <c r="T80" i="1" s="1"/>
  <c r="U80" i="1" a="1"/>
  <c r="U80" i="1" s="1"/>
  <c r="V80" i="1" a="1"/>
  <c r="V80" i="1" s="1"/>
  <c r="W80" i="1" a="1"/>
  <c r="W80" i="1" s="1"/>
  <c r="X80" i="1" a="1"/>
  <c r="X80" i="1" s="1"/>
  <c r="Y80" i="1" a="1"/>
  <c r="Y80" i="1"/>
  <c r="Z80" i="1" a="1"/>
  <c r="Z80" i="1"/>
  <c r="AA80" i="1" a="1"/>
  <c r="AA80" i="1" s="1"/>
  <c r="AB80" i="1" a="1"/>
  <c r="AB80" i="1" s="1"/>
  <c r="AG80" i="1" a="1"/>
  <c r="AG80" i="1"/>
  <c r="AH80" i="1" a="1"/>
  <c r="AH80" i="1"/>
  <c r="AJ80" i="1" a="1"/>
  <c r="AJ80" i="1" s="1"/>
  <c r="AK80" i="1" a="1"/>
  <c r="AK80" i="1"/>
  <c r="AL80" i="1" a="1"/>
  <c r="AL80" i="1"/>
  <c r="AM80" i="1" a="1"/>
  <c r="AM80" i="1" s="1"/>
  <c r="AN80" i="1" a="1"/>
  <c r="AN80" i="1" s="1"/>
  <c r="AO80" i="1" a="1"/>
  <c r="AO80" i="1" s="1"/>
  <c r="C81" i="1" a="1"/>
  <c r="C81" i="1" s="1"/>
  <c r="D81" i="1" a="1"/>
  <c r="D81" i="1" s="1"/>
  <c r="E81" i="1" a="1"/>
  <c r="E81" i="1" s="1"/>
  <c r="F81" i="1" a="1"/>
  <c r="F81" i="1" s="1"/>
  <c r="G81" i="1" a="1"/>
  <c r="G81" i="1" s="1"/>
  <c r="H81" i="1" a="1"/>
  <c r="H81" i="1" s="1"/>
  <c r="I81" i="1" a="1"/>
  <c r="I81" i="1" s="1"/>
  <c r="J81" i="1" a="1"/>
  <c r="J81" i="1" s="1"/>
  <c r="K81" i="1" a="1"/>
  <c r="K81" i="1" s="1"/>
  <c r="L81" i="1" a="1"/>
  <c r="L81" i="1" s="1"/>
  <c r="M81" i="1" a="1"/>
  <c r="M81" i="1" s="1"/>
  <c r="N81" i="1" a="1"/>
  <c r="N81" i="1" s="1"/>
  <c r="O81" i="1" a="1"/>
  <c r="O81" i="1" s="1"/>
  <c r="P81" i="1" a="1"/>
  <c r="P81" i="1" s="1"/>
  <c r="Q81" i="1" a="1"/>
  <c r="Q81" i="1" s="1"/>
  <c r="R81" i="1" a="1"/>
  <c r="R81" i="1" s="1"/>
  <c r="S81" i="1" a="1"/>
  <c r="S81" i="1" s="1"/>
  <c r="T81" i="1" a="1"/>
  <c r="T81" i="1" s="1"/>
  <c r="U81" i="1" a="1"/>
  <c r="U81" i="1" s="1"/>
  <c r="V81" i="1" a="1"/>
  <c r="V81" i="1" s="1"/>
  <c r="W81" i="1" a="1"/>
  <c r="W81" i="1" s="1"/>
  <c r="X81" i="1" a="1"/>
  <c r="X81" i="1" s="1"/>
  <c r="Y81" i="1" a="1"/>
  <c r="Y81" i="1"/>
  <c r="Z81" i="1" a="1"/>
  <c r="Z81" i="1"/>
  <c r="AA81" i="1" a="1"/>
  <c r="AA81" i="1" s="1"/>
  <c r="AB81" i="1" a="1"/>
  <c r="AB81" i="1" s="1"/>
  <c r="AG81" i="1" a="1"/>
  <c r="AG81" i="1"/>
  <c r="AH81" i="1" a="1"/>
  <c r="AH81" i="1"/>
  <c r="AJ81" i="1" a="1"/>
  <c r="AJ81" i="1" s="1"/>
  <c r="AK81" i="1" a="1"/>
  <c r="AK81" i="1"/>
  <c r="AL81" i="1" a="1"/>
  <c r="AL81" i="1"/>
  <c r="AM81" i="1" a="1"/>
  <c r="AM81" i="1" s="1"/>
  <c r="AN81" i="1" a="1"/>
  <c r="AN81" i="1" s="1"/>
  <c r="AO81" i="1" a="1"/>
  <c r="AO81" i="1" s="1"/>
  <c r="C82" i="1" a="1"/>
  <c r="C82" i="1" s="1"/>
  <c r="D82" i="1" a="1"/>
  <c r="D82" i="1" s="1"/>
  <c r="E82" i="1" a="1"/>
  <c r="E82" i="1" s="1"/>
  <c r="F82" i="1" a="1"/>
  <c r="F82" i="1" s="1"/>
  <c r="G82" i="1" a="1"/>
  <c r="G82" i="1" s="1"/>
  <c r="H82" i="1" a="1"/>
  <c r="H82" i="1" s="1"/>
  <c r="I82" i="1" a="1"/>
  <c r="I82" i="1" s="1"/>
  <c r="J82" i="1" a="1"/>
  <c r="J82" i="1" s="1"/>
  <c r="K82" i="1" a="1"/>
  <c r="K82" i="1" s="1"/>
  <c r="L82" i="1" a="1"/>
  <c r="L82" i="1" s="1"/>
  <c r="M82" i="1" a="1"/>
  <c r="M82" i="1" s="1"/>
  <c r="N82" i="1" a="1"/>
  <c r="N82" i="1" s="1"/>
  <c r="O82" i="1" a="1"/>
  <c r="O82" i="1" s="1"/>
  <c r="P82" i="1" a="1"/>
  <c r="P82" i="1" s="1"/>
  <c r="Q82" i="1" a="1"/>
  <c r="Q82" i="1" s="1"/>
  <c r="R82" i="1" a="1"/>
  <c r="R82" i="1" s="1"/>
  <c r="S82" i="1" a="1"/>
  <c r="S82" i="1"/>
  <c r="T82" i="1" a="1"/>
  <c r="T82" i="1" s="1"/>
  <c r="U82" i="1" a="1"/>
  <c r="U82" i="1" s="1"/>
  <c r="V82" i="1" a="1"/>
  <c r="V82" i="1" s="1"/>
  <c r="W82" i="1" a="1"/>
  <c r="W82" i="1" s="1"/>
  <c r="X82" i="1" a="1"/>
  <c r="X82" i="1" s="1"/>
  <c r="Y82" i="1" a="1"/>
  <c r="Y82" i="1"/>
  <c r="Z82" i="1" a="1"/>
  <c r="Z82" i="1"/>
  <c r="AA82" i="1" a="1"/>
  <c r="AA82" i="1" s="1"/>
  <c r="AB82" i="1" a="1"/>
  <c r="AB82" i="1" s="1"/>
  <c r="AG82" i="1" a="1"/>
  <c r="AG82" i="1"/>
  <c r="AH82" i="1" a="1"/>
  <c r="AH82" i="1"/>
  <c r="AJ82" i="1" a="1"/>
  <c r="AJ82" i="1" s="1"/>
  <c r="AK82" i="1" a="1"/>
  <c r="AK82" i="1"/>
  <c r="AL82" i="1" a="1"/>
  <c r="AL82" i="1"/>
  <c r="AM82" i="1" a="1"/>
  <c r="AM82" i="1" s="1"/>
  <c r="AN82" i="1" a="1"/>
  <c r="AN82" i="1" s="1"/>
  <c r="AO82" i="1" a="1"/>
  <c r="AO82" i="1" s="1"/>
  <c r="C83" i="1" a="1"/>
  <c r="C83" i="1" s="1"/>
  <c r="D83" i="1" a="1"/>
  <c r="D83" i="1" s="1"/>
  <c r="E83" i="1" a="1"/>
  <c r="E83" i="1" s="1"/>
  <c r="F83" i="1" a="1"/>
  <c r="F83" i="1" s="1"/>
  <c r="G83" i="1" a="1"/>
  <c r="G83" i="1" s="1"/>
  <c r="H83" i="1" a="1"/>
  <c r="H83" i="1" s="1"/>
  <c r="I83" i="1" a="1"/>
  <c r="I83" i="1" s="1"/>
  <c r="J83" i="1" a="1"/>
  <c r="J83" i="1" s="1"/>
  <c r="K83" i="1" a="1"/>
  <c r="K83" i="1" s="1"/>
  <c r="L83" i="1" a="1"/>
  <c r="L83" i="1" s="1"/>
  <c r="M83" i="1" a="1"/>
  <c r="M83" i="1" s="1"/>
  <c r="N83" i="1" a="1"/>
  <c r="N83" i="1" s="1"/>
  <c r="O83" i="1" a="1"/>
  <c r="O83" i="1" s="1"/>
  <c r="P83" i="1" a="1"/>
  <c r="P83" i="1" s="1"/>
  <c r="Q83" i="1" a="1"/>
  <c r="Q83" i="1" s="1"/>
  <c r="R83" i="1" a="1"/>
  <c r="R83" i="1" s="1"/>
  <c r="S83" i="1" a="1"/>
  <c r="S83" i="1"/>
  <c r="T83" i="1" a="1"/>
  <c r="T83" i="1" s="1"/>
  <c r="U83" i="1" a="1"/>
  <c r="U83" i="1" s="1"/>
  <c r="V83" i="1" a="1"/>
  <c r="V83" i="1" s="1"/>
  <c r="W83" i="1" a="1"/>
  <c r="W83" i="1" s="1"/>
  <c r="X83" i="1" a="1"/>
  <c r="X83" i="1" s="1"/>
  <c r="Y83" i="1" a="1"/>
  <c r="Y83" i="1"/>
  <c r="Z83" i="1" a="1"/>
  <c r="Z83" i="1"/>
  <c r="AA83" i="1" a="1"/>
  <c r="AA83" i="1" s="1"/>
  <c r="AB83" i="1" a="1"/>
  <c r="AB83" i="1" s="1"/>
  <c r="AG83" i="1" a="1"/>
  <c r="AG83" i="1"/>
  <c r="AH83" i="1" a="1"/>
  <c r="AH83" i="1"/>
  <c r="AJ83" i="1" a="1"/>
  <c r="AJ83" i="1" s="1"/>
  <c r="AK83" i="1" a="1"/>
  <c r="AK83" i="1"/>
  <c r="AL83" i="1" a="1"/>
  <c r="AL83" i="1"/>
  <c r="AM83" i="1" a="1"/>
  <c r="AM83" i="1" s="1"/>
  <c r="AN83" i="1" a="1"/>
  <c r="AN83" i="1" s="1"/>
  <c r="AO83" i="1" a="1"/>
  <c r="AO83" i="1" s="1"/>
  <c r="C84" i="1" a="1"/>
  <c r="C84" i="1" s="1"/>
  <c r="D84" i="1" a="1"/>
  <c r="D84" i="1" s="1"/>
  <c r="E84" i="1" a="1"/>
  <c r="E84" i="1" s="1"/>
  <c r="F84" i="1" a="1"/>
  <c r="F84" i="1" s="1"/>
  <c r="G84" i="1" a="1"/>
  <c r="G84" i="1" s="1"/>
  <c r="H84" i="1" a="1"/>
  <c r="H84" i="1" s="1"/>
  <c r="I84" i="1" a="1"/>
  <c r="I84" i="1" s="1"/>
  <c r="J84" i="1" a="1"/>
  <c r="J84" i="1" s="1"/>
  <c r="K84" i="1" a="1"/>
  <c r="K84" i="1" s="1"/>
  <c r="L84" i="1" a="1"/>
  <c r="L84" i="1" s="1"/>
  <c r="M84" i="1" a="1"/>
  <c r="M84" i="1" s="1"/>
  <c r="N84" i="1" a="1"/>
  <c r="N84" i="1" s="1"/>
  <c r="O84" i="1" a="1"/>
  <c r="O84" i="1" s="1"/>
  <c r="P84" i="1" a="1"/>
  <c r="P84" i="1" s="1"/>
  <c r="Q84" i="1" a="1"/>
  <c r="Q84" i="1" s="1"/>
  <c r="R84" i="1" a="1"/>
  <c r="R84" i="1" s="1"/>
  <c r="S84" i="1" a="1"/>
  <c r="S84" i="1"/>
  <c r="T84" i="1" a="1"/>
  <c r="T84" i="1" s="1"/>
  <c r="U84" i="1" a="1"/>
  <c r="U84" i="1" s="1"/>
  <c r="V84" i="1" a="1"/>
  <c r="V84" i="1" s="1"/>
  <c r="W84" i="1" a="1"/>
  <c r="W84" i="1" s="1"/>
  <c r="X84" i="1" a="1"/>
  <c r="X84" i="1" s="1"/>
  <c r="Y84" i="1" a="1"/>
  <c r="Y84" i="1"/>
  <c r="Z84" i="1" a="1"/>
  <c r="Z84" i="1"/>
  <c r="AA84" i="1" a="1"/>
  <c r="AA84" i="1" s="1"/>
  <c r="AB84" i="1" a="1"/>
  <c r="AB84" i="1" s="1"/>
  <c r="AG84" i="1" a="1"/>
  <c r="AG84" i="1"/>
  <c r="AH84" i="1" a="1"/>
  <c r="AH84" i="1"/>
  <c r="AJ84" i="1" a="1"/>
  <c r="AJ84" i="1" s="1"/>
  <c r="AK84" i="1" a="1"/>
  <c r="AK84" i="1"/>
  <c r="AL84" i="1" a="1"/>
  <c r="AL84" i="1"/>
  <c r="AM84" i="1" a="1"/>
  <c r="AM84" i="1" s="1"/>
  <c r="AN84" i="1" a="1"/>
  <c r="AN84" i="1" s="1"/>
  <c r="AO84" i="1" a="1"/>
  <c r="AO84" i="1" s="1"/>
  <c r="C85" i="1" a="1"/>
  <c r="C85" i="1" s="1"/>
  <c r="D85" i="1" a="1"/>
  <c r="D85" i="1" s="1"/>
  <c r="E85" i="1" a="1"/>
  <c r="E85" i="1" s="1"/>
  <c r="F85" i="1" a="1"/>
  <c r="F85" i="1" s="1"/>
  <c r="G85" i="1" a="1"/>
  <c r="G85" i="1" s="1"/>
  <c r="H85" i="1" a="1"/>
  <c r="H85" i="1" s="1"/>
  <c r="I85" i="1" a="1"/>
  <c r="I85" i="1" s="1"/>
  <c r="J85" i="1" a="1"/>
  <c r="J85" i="1" s="1"/>
  <c r="K85" i="1" a="1"/>
  <c r="K85" i="1" s="1"/>
  <c r="L85" i="1" a="1"/>
  <c r="L85" i="1" s="1"/>
  <c r="M85" i="1" a="1"/>
  <c r="M85" i="1" s="1"/>
  <c r="N85" i="1" a="1"/>
  <c r="N85" i="1" s="1"/>
  <c r="O85" i="1" a="1"/>
  <c r="O85" i="1" s="1"/>
  <c r="P85" i="1" a="1"/>
  <c r="P85" i="1" s="1"/>
  <c r="Q85" i="1" a="1"/>
  <c r="Q85" i="1" s="1"/>
  <c r="R85" i="1" a="1"/>
  <c r="R85" i="1" s="1"/>
  <c r="S85" i="1" a="1"/>
  <c r="S85" i="1" s="1"/>
  <c r="T85" i="1" a="1"/>
  <c r="T85" i="1" s="1"/>
  <c r="U85" i="1" a="1"/>
  <c r="U85" i="1" s="1"/>
  <c r="V85" i="1" a="1"/>
  <c r="V85" i="1" s="1"/>
  <c r="W85" i="1" a="1"/>
  <c r="W85" i="1" s="1"/>
  <c r="X85" i="1" a="1"/>
  <c r="X85" i="1" s="1"/>
  <c r="Y85" i="1" a="1"/>
  <c r="Y85" i="1"/>
  <c r="Z85" i="1" a="1"/>
  <c r="Z85" i="1"/>
  <c r="AA85" i="1" a="1"/>
  <c r="AA85" i="1" s="1"/>
  <c r="AB85" i="1" a="1"/>
  <c r="AB85" i="1" s="1"/>
  <c r="AG85" i="1" a="1"/>
  <c r="AG85" i="1"/>
  <c r="AH85" i="1" a="1"/>
  <c r="AH85" i="1"/>
  <c r="AJ85" i="1" a="1"/>
  <c r="AJ85" i="1" s="1"/>
  <c r="AK85" i="1" a="1"/>
  <c r="AK85" i="1"/>
  <c r="AL85" i="1" a="1"/>
  <c r="AL85" i="1"/>
  <c r="AM85" i="1" a="1"/>
  <c r="AM85" i="1" s="1"/>
  <c r="AN85" i="1" a="1"/>
  <c r="AN85" i="1" s="1"/>
  <c r="AO85" i="1" a="1"/>
  <c r="AO85" i="1" s="1"/>
  <c r="C86" i="1" a="1"/>
  <c r="C86" i="1" s="1"/>
  <c r="D86" i="1" a="1"/>
  <c r="D86" i="1" s="1"/>
  <c r="E86" i="1" a="1"/>
  <c r="E86" i="1" s="1"/>
  <c r="F86" i="1" a="1"/>
  <c r="F86" i="1" s="1"/>
  <c r="G86" i="1" a="1"/>
  <c r="G86" i="1" s="1"/>
  <c r="H86" i="1" a="1"/>
  <c r="H86" i="1" s="1"/>
  <c r="I86" i="1" a="1"/>
  <c r="I86" i="1" s="1"/>
  <c r="J86" i="1" a="1"/>
  <c r="J86" i="1" s="1"/>
  <c r="K86" i="1" a="1"/>
  <c r="K86" i="1" s="1"/>
  <c r="L86" i="1" a="1"/>
  <c r="L86" i="1" s="1"/>
  <c r="M86" i="1" a="1"/>
  <c r="M86" i="1" s="1"/>
  <c r="N86" i="1" a="1"/>
  <c r="N86" i="1" s="1"/>
  <c r="O86" i="1" a="1"/>
  <c r="O86" i="1" s="1"/>
  <c r="P86" i="1" a="1"/>
  <c r="P86" i="1" s="1"/>
  <c r="Q86" i="1" a="1"/>
  <c r="Q86" i="1" s="1"/>
  <c r="R86" i="1" a="1"/>
  <c r="R86" i="1" s="1"/>
  <c r="S86" i="1" a="1"/>
  <c r="S86" i="1"/>
  <c r="T86" i="1" a="1"/>
  <c r="T86" i="1" s="1"/>
  <c r="U86" i="1" a="1"/>
  <c r="U86" i="1" s="1"/>
  <c r="V86" i="1" a="1"/>
  <c r="V86" i="1" s="1"/>
  <c r="W86" i="1" a="1"/>
  <c r="W86" i="1" s="1"/>
  <c r="X86" i="1" a="1"/>
  <c r="X86" i="1" s="1"/>
  <c r="Y86" i="1" a="1"/>
  <c r="Y86" i="1"/>
  <c r="Z86" i="1" a="1"/>
  <c r="Z86" i="1"/>
  <c r="AA86" i="1" a="1"/>
  <c r="AA86" i="1" s="1"/>
  <c r="AB86" i="1" a="1"/>
  <c r="AB86" i="1" s="1"/>
  <c r="AG86" i="1" a="1"/>
  <c r="AG86" i="1"/>
  <c r="AH86" i="1" a="1"/>
  <c r="AH86" i="1"/>
  <c r="AJ86" i="1" a="1"/>
  <c r="AJ86" i="1" s="1"/>
  <c r="AK86" i="1" a="1"/>
  <c r="AK86" i="1"/>
  <c r="AL86" i="1" a="1"/>
  <c r="AL86" i="1"/>
  <c r="AM86" i="1" a="1"/>
  <c r="AM86" i="1" s="1"/>
  <c r="AN86" i="1" a="1"/>
  <c r="AN86" i="1" s="1"/>
  <c r="AO86" i="1" a="1"/>
  <c r="AO86" i="1" s="1"/>
  <c r="C87" i="1" a="1"/>
  <c r="C87" i="1" s="1"/>
  <c r="D87" i="1" a="1"/>
  <c r="D87" i="1" s="1"/>
  <c r="E87" i="1" a="1"/>
  <c r="E87" i="1" s="1"/>
  <c r="F87" i="1" a="1"/>
  <c r="F87" i="1" s="1"/>
  <c r="G87" i="1" a="1"/>
  <c r="G87" i="1" s="1"/>
  <c r="H87" i="1" a="1"/>
  <c r="H87" i="1" s="1"/>
  <c r="I87" i="1" a="1"/>
  <c r="I87" i="1" s="1"/>
  <c r="J87" i="1" a="1"/>
  <c r="J87" i="1" s="1"/>
  <c r="K87" i="1" a="1"/>
  <c r="K87" i="1" s="1"/>
  <c r="L87" i="1" a="1"/>
  <c r="L87" i="1" s="1"/>
  <c r="M87" i="1" a="1"/>
  <c r="M87" i="1" s="1"/>
  <c r="N87" i="1" a="1"/>
  <c r="N87" i="1" s="1"/>
  <c r="O87" i="1" a="1"/>
  <c r="O87" i="1" s="1"/>
  <c r="P87" i="1" a="1"/>
  <c r="P87" i="1" s="1"/>
  <c r="Q87" i="1" a="1"/>
  <c r="Q87" i="1" s="1"/>
  <c r="R87" i="1" a="1"/>
  <c r="R87" i="1" s="1"/>
  <c r="S87" i="1" a="1"/>
  <c r="S87" i="1" s="1"/>
  <c r="T87" i="1" a="1"/>
  <c r="T87" i="1" s="1"/>
  <c r="U87" i="1" a="1"/>
  <c r="U87" i="1" s="1"/>
  <c r="V87" i="1" a="1"/>
  <c r="V87" i="1" s="1"/>
  <c r="W87" i="1" a="1"/>
  <c r="W87" i="1" s="1"/>
  <c r="X87" i="1" a="1"/>
  <c r="X87" i="1" s="1"/>
  <c r="Y87" i="1" a="1"/>
  <c r="Y87" i="1"/>
  <c r="Z87" i="1" a="1"/>
  <c r="Z87" i="1"/>
  <c r="AA87" i="1" a="1"/>
  <c r="AA87" i="1" s="1"/>
  <c r="AB87" i="1" a="1"/>
  <c r="AB87" i="1" s="1"/>
  <c r="AG87" i="1" a="1"/>
  <c r="AG87" i="1"/>
  <c r="AH87" i="1" a="1"/>
  <c r="AH87" i="1"/>
  <c r="AJ87" i="1" a="1"/>
  <c r="AJ87" i="1" s="1"/>
  <c r="AK87" i="1" a="1"/>
  <c r="AK87" i="1"/>
  <c r="AL87" i="1" a="1"/>
  <c r="AL87" i="1"/>
  <c r="AM87" i="1" a="1"/>
  <c r="AM87" i="1" s="1"/>
  <c r="AN87" i="1" a="1"/>
  <c r="AN87" i="1" s="1"/>
  <c r="AO87" i="1" a="1"/>
  <c r="AO87" i="1" s="1"/>
  <c r="C88" i="1" a="1"/>
  <c r="C88" i="1" s="1"/>
  <c r="D88" i="1" a="1"/>
  <c r="D88" i="1" s="1"/>
  <c r="E88" i="1" a="1"/>
  <c r="E88" i="1" s="1"/>
  <c r="F88" i="1" a="1"/>
  <c r="F88" i="1" s="1"/>
  <c r="G88" i="1" a="1"/>
  <c r="G88" i="1" s="1"/>
  <c r="H88" i="1" a="1"/>
  <c r="H88" i="1" s="1"/>
  <c r="I88" i="1" a="1"/>
  <c r="I88" i="1" s="1"/>
  <c r="J88" i="1" a="1"/>
  <c r="J88" i="1" s="1"/>
  <c r="K88" i="1" a="1"/>
  <c r="K88" i="1" s="1"/>
  <c r="L88" i="1" a="1"/>
  <c r="L88" i="1" s="1"/>
  <c r="M88" i="1" a="1"/>
  <c r="M88" i="1" s="1"/>
  <c r="N88" i="1" a="1"/>
  <c r="N88" i="1" s="1"/>
  <c r="O88" i="1" a="1"/>
  <c r="O88" i="1" s="1"/>
  <c r="P88" i="1" a="1"/>
  <c r="P88" i="1" s="1"/>
  <c r="Q88" i="1" a="1"/>
  <c r="Q88" i="1" s="1"/>
  <c r="R88" i="1" a="1"/>
  <c r="R88" i="1" s="1"/>
  <c r="S88" i="1" a="1"/>
  <c r="S88" i="1"/>
  <c r="T88" i="1" a="1"/>
  <c r="T88" i="1" s="1"/>
  <c r="U88" i="1" a="1"/>
  <c r="U88" i="1" s="1"/>
  <c r="V88" i="1" a="1"/>
  <c r="V88" i="1" s="1"/>
  <c r="W88" i="1" a="1"/>
  <c r="W88" i="1" s="1"/>
  <c r="X88" i="1" a="1"/>
  <c r="X88" i="1" s="1"/>
  <c r="Y88" i="1" a="1"/>
  <c r="Y88" i="1"/>
  <c r="Z88" i="1" a="1"/>
  <c r="Z88" i="1"/>
  <c r="AA88" i="1" a="1"/>
  <c r="AA88" i="1" s="1"/>
  <c r="AB88" i="1" a="1"/>
  <c r="AB88" i="1" s="1"/>
  <c r="AG88" i="1" a="1"/>
  <c r="AG88" i="1"/>
  <c r="AH88" i="1" a="1"/>
  <c r="AH88" i="1"/>
  <c r="AJ88" i="1" a="1"/>
  <c r="AJ88" i="1" s="1"/>
  <c r="AK88" i="1" a="1"/>
  <c r="AK88" i="1"/>
  <c r="AL88" i="1" a="1"/>
  <c r="AL88" i="1"/>
  <c r="AM88" i="1" a="1"/>
  <c r="AM88" i="1" s="1"/>
  <c r="AN88" i="1" a="1"/>
  <c r="AN88" i="1" s="1"/>
  <c r="AO88" i="1" a="1"/>
  <c r="AO8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<sst xmlns="http://schemas.openxmlformats.org/spreadsheetml/2006/main" count="389" uniqueCount="221">
  <si>
    <t>合约代码</t>
  </si>
  <si>
    <t>合约名称</t>
  </si>
  <si>
    <t>净持仓</t>
  </si>
  <si>
    <t>多头持仓</t>
  </si>
  <si>
    <t>空头持仓</t>
  </si>
  <si>
    <t>持仓盈亏</t>
  </si>
  <si>
    <t>最新</t>
  </si>
  <si>
    <t>涨跌</t>
  </si>
  <si>
    <t>涨跌%</t>
  </si>
  <si>
    <t>买量</t>
  </si>
  <si>
    <t>买价</t>
  </si>
  <si>
    <t>卖价</t>
  </si>
  <si>
    <t>卖量</t>
  </si>
  <si>
    <t>今开</t>
  </si>
  <si>
    <t>最高</t>
  </si>
  <si>
    <t>最低</t>
  </si>
  <si>
    <t>成交量</t>
  </si>
  <si>
    <t>持仓量</t>
  </si>
  <si>
    <t>现增仓</t>
  </si>
  <si>
    <t>日增仓</t>
  </si>
  <si>
    <t>合约状态</t>
  </si>
  <si>
    <t>更新时间</t>
  </si>
  <si>
    <t>涨停</t>
  </si>
  <si>
    <t>跌停</t>
  </si>
  <si>
    <t>今收</t>
  </si>
  <si>
    <t>今结</t>
  </si>
  <si>
    <t>昨收</t>
  </si>
  <si>
    <t>昨结</t>
  </si>
  <si>
    <t>交易所</t>
  </si>
  <si>
    <t>品种</t>
  </si>
  <si>
    <t>合约乘数</t>
  </si>
  <si>
    <t>到期日</t>
  </si>
  <si>
    <t>保证金</t>
  </si>
  <si>
    <t>手续费</t>
  </si>
  <si>
    <t>币种</t>
  </si>
  <si>
    <t>现买量</t>
  </si>
  <si>
    <t>现买价</t>
  </si>
  <si>
    <t>现卖价</t>
  </si>
  <si>
    <t>现卖量</t>
  </si>
  <si>
    <t>总买量</t>
  </si>
  <si>
    <t>总卖量</t>
  </si>
  <si>
    <t>AP610</t>
  </si>
  <si>
    <t>CZCE</t>
  </si>
  <si>
    <t>AP</t>
  </si>
  <si>
    <t>CF609</t>
  </si>
  <si>
    <t>CF</t>
  </si>
  <si>
    <t>CJ609</t>
  </si>
  <si>
    <t>CJ</t>
  </si>
  <si>
    <t>CY607</t>
  </si>
  <si>
    <t>CY</t>
  </si>
  <si>
    <t>FG609</t>
  </si>
  <si>
    <t>FG</t>
  </si>
  <si>
    <t>IC2606</t>
  </si>
  <si>
    <t>CFFEX</t>
  </si>
  <si>
    <t>IC</t>
  </si>
  <si>
    <t>IF2606</t>
  </si>
  <si>
    <t>IF</t>
  </si>
  <si>
    <t>IH2606</t>
  </si>
  <si>
    <t>IH</t>
  </si>
  <si>
    <t>IM2606</t>
  </si>
  <si>
    <t>IM</t>
  </si>
  <si>
    <t>JR705</t>
  </si>
  <si>
    <t>JR</t>
  </si>
  <si>
    <t>MA609</t>
  </si>
  <si>
    <t>MA</t>
  </si>
  <si>
    <t>OI609</t>
  </si>
  <si>
    <t>OI</t>
  </si>
  <si>
    <t>PF607</t>
  </si>
  <si>
    <t>PF</t>
  </si>
  <si>
    <t>PK610</t>
  </si>
  <si>
    <t>PK</t>
  </si>
  <si>
    <t>PL607</t>
  </si>
  <si>
    <t>PL</t>
  </si>
  <si>
    <t>PM705</t>
  </si>
  <si>
    <t>PM</t>
  </si>
  <si>
    <t>PR607</t>
  </si>
  <si>
    <t>PR</t>
  </si>
  <si>
    <t>PX607</t>
  </si>
  <si>
    <t>PX</t>
  </si>
  <si>
    <t>RI705</t>
  </si>
  <si>
    <t>RI</t>
  </si>
  <si>
    <t>RM609</t>
  </si>
  <si>
    <t>RM</t>
  </si>
  <si>
    <t>RS609</t>
  </si>
  <si>
    <t>RS</t>
  </si>
  <si>
    <t>SA609</t>
  </si>
  <si>
    <t>SA</t>
  </si>
  <si>
    <t>SF607</t>
  </si>
  <si>
    <t>SF</t>
  </si>
  <si>
    <t>SH607</t>
  </si>
  <si>
    <t>SH</t>
  </si>
  <si>
    <t>SM607</t>
  </si>
  <si>
    <t>SM</t>
  </si>
  <si>
    <t>SR609</t>
  </si>
  <si>
    <t>SR</t>
  </si>
  <si>
    <t>T2606</t>
  </si>
  <si>
    <t>T</t>
  </si>
  <si>
    <t>TA609</t>
  </si>
  <si>
    <t>TA</t>
  </si>
  <si>
    <t>TF2606</t>
  </si>
  <si>
    <t>TF</t>
  </si>
  <si>
    <t>TL2606</t>
  </si>
  <si>
    <t>TL</t>
  </si>
  <si>
    <t>TS2606</t>
  </si>
  <si>
    <t>TS</t>
  </si>
  <si>
    <t>UR609</t>
  </si>
  <si>
    <t>UR</t>
  </si>
  <si>
    <t>WH705</t>
  </si>
  <si>
    <t>WH</t>
  </si>
  <si>
    <t>ZC705</t>
  </si>
  <si>
    <t>ZC</t>
  </si>
  <si>
    <t>a2607</t>
  </si>
  <si>
    <t>DCE</t>
  </si>
  <si>
    <t>a</t>
  </si>
  <si>
    <t>ad2607</t>
  </si>
  <si>
    <t>SHFE</t>
  </si>
  <si>
    <t>ad</t>
  </si>
  <si>
    <t>ag2608</t>
  </si>
  <si>
    <t>ag</t>
  </si>
  <si>
    <t>al2607</t>
  </si>
  <si>
    <t>al</t>
  </si>
  <si>
    <t>ao2609</t>
  </si>
  <si>
    <t>ao</t>
  </si>
  <si>
    <t>au2606</t>
  </si>
  <si>
    <t>au</t>
  </si>
  <si>
    <t>b2607</t>
  </si>
  <si>
    <t>b</t>
  </si>
  <si>
    <t>bb2607</t>
  </si>
  <si>
    <t>bb</t>
  </si>
  <si>
    <t>bc2606</t>
  </si>
  <si>
    <t>INE</t>
  </si>
  <si>
    <t>bc</t>
  </si>
  <si>
    <t>br2606</t>
  </si>
  <si>
    <t>br</t>
  </si>
  <si>
    <t>bu2606</t>
  </si>
  <si>
    <t>bu</t>
  </si>
  <si>
    <t>bz2606</t>
  </si>
  <si>
    <t>bz</t>
  </si>
  <si>
    <t>c2607</t>
  </si>
  <si>
    <t>c</t>
  </si>
  <si>
    <t>cs2607</t>
  </si>
  <si>
    <t>cs</t>
  </si>
  <si>
    <t>cu2607</t>
  </si>
  <si>
    <t>cu</t>
  </si>
  <si>
    <t>eb2607</t>
  </si>
  <si>
    <t>eb</t>
  </si>
  <si>
    <t>ec2606</t>
  </si>
  <si>
    <t>ec</t>
  </si>
  <si>
    <t>eg2609</t>
  </si>
  <si>
    <t>eg</t>
  </si>
  <si>
    <t>fb2607</t>
  </si>
  <si>
    <t>fb</t>
  </si>
  <si>
    <t>fu2609</t>
  </si>
  <si>
    <t>fu</t>
  </si>
  <si>
    <t>hc2610</t>
  </si>
  <si>
    <t>hc</t>
  </si>
  <si>
    <t>i2609</t>
  </si>
  <si>
    <t>i</t>
  </si>
  <si>
    <t>j2609</t>
  </si>
  <si>
    <t>j</t>
  </si>
  <si>
    <t>jd2607</t>
  </si>
  <si>
    <t>jd</t>
  </si>
  <si>
    <t>jm2609</t>
  </si>
  <si>
    <t>jm</t>
  </si>
  <si>
    <t>l2609</t>
  </si>
  <si>
    <t>l</t>
  </si>
  <si>
    <t>lc2609</t>
  </si>
  <si>
    <t>GFEX</t>
  </si>
  <si>
    <t>lc</t>
  </si>
  <si>
    <t>lg2607</t>
  </si>
  <si>
    <t>lg</t>
  </si>
  <si>
    <t>lh2607</t>
  </si>
  <si>
    <t>lh</t>
  </si>
  <si>
    <t>lu2607</t>
  </si>
  <si>
    <t>lu</t>
  </si>
  <si>
    <t>m2609</t>
  </si>
  <si>
    <t>m</t>
  </si>
  <si>
    <t>ni2606</t>
  </si>
  <si>
    <t>ni</t>
  </si>
  <si>
    <t>nr2607</t>
  </si>
  <si>
    <t>nr</t>
  </si>
  <si>
    <t>op2607</t>
  </si>
  <si>
    <t>op</t>
  </si>
  <si>
    <t>p2609</t>
  </si>
  <si>
    <t>p</t>
  </si>
  <si>
    <t>pb2607</t>
  </si>
  <si>
    <t>pb</t>
  </si>
  <si>
    <t>pd2606</t>
  </si>
  <si>
    <t>pd</t>
  </si>
  <si>
    <t>pg2607</t>
  </si>
  <si>
    <t>pg</t>
  </si>
  <si>
    <t>pp2609</t>
  </si>
  <si>
    <t>pp</t>
  </si>
  <si>
    <t>ps2606</t>
  </si>
  <si>
    <t>ps</t>
  </si>
  <si>
    <t>pt2606</t>
  </si>
  <si>
    <t>pt</t>
  </si>
  <si>
    <t>rb2610</t>
  </si>
  <si>
    <t>rb</t>
  </si>
  <si>
    <t>rr2607</t>
  </si>
  <si>
    <t>rr</t>
  </si>
  <si>
    <t>ru2609</t>
  </si>
  <si>
    <t>ru</t>
  </si>
  <si>
    <t>sc2607</t>
  </si>
  <si>
    <t>sc</t>
  </si>
  <si>
    <t>si2609</t>
  </si>
  <si>
    <t>si</t>
  </si>
  <si>
    <t>sn2606</t>
  </si>
  <si>
    <t>sn</t>
  </si>
  <si>
    <t>sp2609</t>
  </si>
  <si>
    <t>sp</t>
  </si>
  <si>
    <t>ss2607</t>
  </si>
  <si>
    <t>ss</t>
  </si>
  <si>
    <t>v2609</t>
  </si>
  <si>
    <t>v</t>
  </si>
  <si>
    <t>wr2607</t>
  </si>
  <si>
    <t>wr</t>
  </si>
  <si>
    <t>y2609</t>
  </si>
  <si>
    <t>y</t>
  </si>
  <si>
    <t>zn2606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</si>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</sst>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054970868">
    <ddeItems>
      <ddeItem name="ASKPRICE1" advise="1">
        <values>
          <value>
            <val>7400</val>
          </value>
        </values>
      </ddeItem>
      <ddeItem name="ASKVOLUME1" advise="1">
        <values>
          <value>
            <val>10</val>
          </value>
        </values>
      </ddeItem>
      <ddeItem name="BIDPRICE1" advise="1">
        <values>
          <value>
            <val>7399</val>
          </value>
        </values>
      </ddeItem>
      <ddeItem name="BIDVOLUME1" advise="1">
        <values>
          <value>
            <val>26</val>
          </value>
        </values>
      </ddeItem>
      <ddeItem name="CLOSEPRICE" advise="1"/>
      <ddeItem name="FEE" advise="1">
        <values>
          <value t="str">
            <val>5.00</val>
          </value>
        </values>
      </ddeItem>
      <ddeItem name="HIGH" advise="1">
        <values>
          <value>
            <val>7428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7399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7347</val>
          </value>
        </values>
      </ddeItem>
      <ddeItem name="LOWERLIMITPRICE" advise="1">
        <values>
          <value>
            <val>6814</val>
          </value>
        </values>
      </ddeItem>
      <ddeItem name="MARGIN" advise="1">
        <values>
          <value t="str">
            <val>15.00%</val>
          </value>
        </values>
      </ddeItem>
      <ddeItem name="MTMPL2200107473" advise="1">
        <values>
          <value>
            <val>0</val>
          </value>
        </values>
      </ddeItem>
      <ddeItem name="NETCHANGE" advise="1">
        <values>
          <value>
            <val>-8</val>
          </value>
        </values>
      </ddeItem>
      <ddeItem name="NETCHANGERATE" advise="1">
        <values>
          <value t="str">
            <val>-0.11%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7398</val>
          </value>
        </values>
      </ddeItem>
      <ddeItem name="POSIVOL" advise="1">
        <values>
          <value>
            <val>123565</val>
          </value>
        </values>
      </ddeItem>
      <ddeItem name="POSIVOLCHANGE" advise="1">
        <values>
          <value>
            <val>-1</val>
          </value>
        </values>
      </ddeItem>
      <ddeItem name="POSIVOLCHANGEDAILY" advise="1">
        <values>
          <value>
            <val>363</val>
          </value>
        </values>
      </ddeItem>
      <ddeItem name="PRECLOSE" advise="1">
        <values>
          <value>
            <val>7390</val>
          </value>
        </values>
      </ddeItem>
      <ddeItem name="PRESETTLEPRICE" advise="1">
        <values>
          <value>
            <val>7407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53159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8000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084361494">
    <ddeItems>
      <ddeItem name="ASKPRICE1" advise="1">
        <values>
          <value>
            <val>16140</val>
          </value>
        </values>
      </ddeItem>
      <ddeItem name="ASKVOLUME1" advise="1">
        <values>
          <value>
            <val>572</val>
          </value>
        </values>
      </ddeItem>
      <ddeItem name="BIDPRICE1" advise="1">
        <values>
          <value>
            <val>16135</val>
          </value>
        </values>
      </ddeItem>
      <ddeItem name="BIDVOLUME1" advise="1">
        <values>
          <value>
            <val>170</val>
          </value>
        </values>
      </ddeItem>
      <ddeItem name="CLOSEPRICE" advise="1"/>
      <ddeItem name="FEE" advise="1"/>
      <ddeItem name="HIGH" advise="1">
        <values>
          <value>
            <val>16190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16135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15935</val>
          </value>
        </values>
      </ddeItem>
      <ddeItem name="LOWERLIMITPRICE" advise="1">
        <values>
          <value>
            <val>15195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-30</val>
          </value>
        </values>
      </ddeItem>
      <ddeItem name="NETCHANGERATE" advise="1">
        <values>
          <value t="str">
            <val>-0.19%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16125</val>
          </value>
        </values>
      </ddeItem>
      <ddeItem name="POSIVOL" advise="1">
        <values>
          <value>
            <val>672032</val>
          </value>
        </values>
      </ddeItem>
      <ddeItem name="POSIVOLCHANGE" advise="1">
        <values>
          <value>
            <val>1</val>
          </value>
        </values>
      </ddeItem>
      <ddeItem name="POSIVOLCHANGEDAILY" advise="1">
        <values>
          <value>
            <val>-13823</val>
          </value>
        </values>
      </ddeItem>
      <ddeItem name="PRECLOSE" advise="1">
        <values>
          <value>
            <val>16160</val>
          </value>
        </values>
      </ddeItem>
      <ddeItem name="PRESETTLEPRICE" advise="1">
        <values>
          <value>
            <val>16165</val>
          </value>
        </values>
      </ddeItem>
      <ddeItem name="SETTLEPRICE" advise="1">
        <values>
          <value>
            <val>16150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444006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17135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56979649">
    <ddeItems>
      <ddeItem name="ASKPRICE1" advise="1">
        <values>
          <value>
            <val>9030</val>
          </value>
        </values>
      </ddeItem>
      <ddeItem name="ASKVOLUME1" advise="1">
        <values>
          <value>
            <val>42</val>
          </value>
        </values>
      </ddeItem>
      <ddeItem name="BIDPRICE1" advise="1">
        <values>
          <value>
            <val>9025</val>
          </value>
        </values>
      </ddeItem>
      <ddeItem name="BIDVOLUME1" advise="1">
        <values>
          <value>
            <val>172</val>
          </value>
        </values>
      </ddeItem>
      <ddeItem name="CLOSEPRICE" advise="1"/>
      <ddeItem name="FEE" advise="1">
        <values>
          <value t="str">
            <val>开仓3.00,平仓3.00,平今0.00</val>
          </value>
        </values>
      </ddeItem>
      <ddeItem name="HIGH" advise="1">
        <values>
          <value>
            <val>9115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9025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8990</val>
          </value>
        </values>
      </ddeItem>
      <ddeItem name="LOWERLIMITPRICE" advise="1">
        <values>
          <value>
            <val>8420</val>
          </value>
        </values>
      </ddeItem>
      <ddeItem name="MARGIN" advise="1">
        <values>
          <value t="str">
            <val>18.00%</val>
          </value>
        </values>
      </ddeItem>
      <ddeItem name="MTMPL2200107473" advise="1">
        <values>
          <value>
            <val>0</val>
          </value>
        </values>
      </ddeItem>
      <ddeItem name="NETCHANGE" advise="1">
        <values>
          <value>
            <val>-30</val>
          </value>
        </values>
      </ddeItem>
      <ddeItem name="NETCHANGERATE" advise="1">
        <values>
          <value t="str">
            <val>-0.33%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9025</val>
          </value>
        </values>
      </ddeItem>
      <ddeItem name="POSIVOL" advise="1">
        <values>
          <value>
            <val>117279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3554</val>
          </value>
        </values>
      </ddeItem>
      <ddeItem name="PRECLOSE" advise="1">
        <values>
          <value>
            <val>9055</val>
          </value>
        </values>
      </ddeItem>
      <ddeItem name="PRESETTLEPRICE" advise="1">
        <values>
          <value>
            <val>9055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65564</val>
          </value>
        </values>
      </ddeItem>
      <ddeItem name="UPDATETIME" advise="1">
        <values>
          <value t="str">
            <val>22:52:39.000</val>
          </value>
        </values>
      </ddeItem>
      <ddeItem name="UPPERLIMITPRICE" advise="1">
        <values>
          <value>
            <val>9690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30616114">
    <ddeItems>
      <ddeItem name="ASKPRICE1" advise="1">
        <values>
          <value>
            <val>22135</val>
          </value>
        </values>
      </ddeItem>
      <ddeItem name="ASKVOLUME1" advise="1">
        <values>
          <value>
            <val>6</val>
          </value>
        </values>
      </ddeItem>
      <ddeItem name="BIDPRICE1" advise="1">
        <values>
          <value>
            <val>22130</val>
          </value>
        </values>
      </ddeItem>
      <ddeItem name="BIDVOLUME1" advise="1">
        <values>
          <value>
            <val>13</val>
          </value>
        </values>
      </ddeItem>
      <ddeItem name="CLOSEPRICE" advise="1"/>
      <ddeItem name="FEE" advise="1">
        <values>
          <value t="str">
            <val>开仓4.00,平仓4.00,平今0.00</val>
          </value>
        </values>
      </ddeItem>
      <ddeItem name="HIGH" advise="1">
        <values>
          <value>
            <val>22155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22135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21910</val>
          </value>
        </values>
      </ddeItem>
      <ddeItem name="LOWERLIMITPRICE" advise="1">
        <values>
          <value>
            <val>21250</val>
          </value>
        </values>
      </ddeItem>
      <ddeItem name="MARGIN" advise="1">
        <values>
          <value t="str">
            <val>25.00%</val>
          </value>
        </values>
      </ddeItem>
      <ddeItem name="MTMPL2200107473" advise="1">
        <values>
          <value>
            <val>0</val>
          </value>
        </values>
      </ddeItem>
      <ddeItem name="NETCHANGE" advise="1">
        <values>
          <value>
            <val>-5</val>
          </value>
        </values>
      </ddeItem>
      <ddeItem name="NETCHANGERATE" advise="1">
        <values>
          <value t="str">
            <val>-0.02%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22100</val>
          </value>
        </values>
      </ddeItem>
      <ddeItem name="POSIVOL" advise="1">
        <values>
          <value>
            <val>14812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-644</val>
          </value>
        </values>
      </ddeItem>
      <ddeItem name="PRECLOSE" advise="1">
        <values>
          <value>
            <val>22160</val>
          </value>
        </values>
      </ddeItem>
      <ddeItem name="PRESETTLEPRICE" advise="1">
        <values>
          <value>
            <val>22140</val>
          </value>
        </values>
      </ddeItem>
      <ddeItem name="SETTLEPRICE" advise="1">
        <values>
          <value>
            <val>22105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9343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23030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828427816">
    <ddeItems>
      <ddeItem name="ASKPRICE1" advise="1">
        <values>
          <value>
            <val>1015</val>
          </value>
        </values>
      </ddeItem>
      <ddeItem name="ASKVOLUME1" advise="1">
        <values>
          <value>
            <val>4821</val>
          </value>
        </values>
      </ddeItem>
      <ddeItem name="BIDPRICE1" advise="1">
        <values>
          <value>
            <val>1014</val>
          </value>
        </values>
      </ddeItem>
      <ddeItem name="BIDVOLUME1" advise="1">
        <values>
          <value>
            <val>816</val>
          </value>
        </values>
      </ddeItem>
      <ddeItem name="CLOSEPRICE" advise="1"/>
      <ddeItem name="FEE" advise="1"/>
      <ddeItem name="HIGH" advise="1">
        <values>
          <value>
            <val>1027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1014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1007</val>
          </value>
        </values>
      </ddeItem>
      <ddeItem name="LOWERLIMITPRICE" advise="1">
        <values>
          <value>
            <val>934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-13</val>
          </value>
        </values>
      </ddeItem>
      <ddeItem name="NETCHANGERATE" advise="1">
        <values>
          <value t="str">
            <val>-1.27%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1025</val>
          </value>
        </values>
      </ddeItem>
      <ddeItem name="POSIVOL" advise="1">
        <values>
          <value>
            <val>1631992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56864</val>
          </value>
        </values>
      </ddeItem>
      <ddeItem name="PRECLOSE" advise="1">
        <values>
          <value>
            <val>1021</val>
          </value>
        </values>
      </ddeItem>
      <ddeItem name="PRESETTLEPRICE" advise="1">
        <values>
          <value>
            <val>1027</val>
          </value>
        </values>
      </ddeItem>
      <ddeItem name="SETTLEPRICE" advise="1">
        <values>
          <value>
            <val>1020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869907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1120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368900106">
    <ddeItems>
      <ddeItem name="ASKPRICE1" advise="1">
        <values>
          <value>
            <val>8573.7999999999993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8569</val>
          </value>
        </values>
      </ddeItem>
      <ddeItem name="BIDVOLUME1" advise="1">
        <values>
          <value>
            <val>3</val>
          </value>
        </values>
      </ddeItem>
      <ddeItem name="CLOSEPRICE" advise="1"/>
      <ddeItem name="FEE" advise="1"/>
      <ddeItem name="HIGH" advise="1">
        <values>
          <value>
            <val>8586.7999999999993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8571.7999999999993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8450</val>
          </value>
        </values>
      </ddeItem>
      <ddeItem name="LOWERLIMITPRICE" advise="1">
        <values>
          <value>
            <val>7667.6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52.399999999999636</val>
          </value>
        </values>
      </ddeItem>
      <ddeItem name="NETCHANGERATE" advise="1">
        <values>
          <value t="str">
            <val>+0.62%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8516</val>
          </value>
        </values>
      </ddeItem>
      <ddeItem name="POSIVOL" advise="1">
        <values>
          <value>
            <val>157070</val>
          </value>
        </values>
      </ddeItem>
      <ddeItem name="POSIVOLCHANGE" advise="1"/>
      <ddeItem name="POSIVOLCHANGEDAILY" advise="1">
        <values>
          <value>
            <val>-10971</val>
          </value>
        </values>
      </ddeItem>
      <ddeItem name="PRECLOSE" advise="1">
        <values>
          <value>
            <val>8535.2000000000007</val>
          </value>
        </values>
      </ddeItem>
      <ddeItem name="PRESETTLEPRICE" advise="1">
        <values>
          <value>
            <val>8519.4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108579</val>
          </value>
        </values>
      </ddeItem>
      <ddeItem name="UPDATETIME" advise="1">
        <values>
          <value t="str">
            <val>22:00:46.500</val>
          </value>
        </values>
      </ddeItem>
      <ddeItem name="UPPERLIMITPRICE" advise="1">
        <values>
          <value>
            <val>9371.2000000000007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313809496">
    <ddeItems>
      <ddeItem name="ASKPRICE1" advise="1">
        <values>
          <value>
            <val>4798.2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4797.6000000000004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4821.8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4798.3999999999996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4771.8</val>
          </value>
        </values>
      </ddeItem>
      <ddeItem name="LOWERLIMITPRICE" advise="1">
        <values>
          <value>
            <val>4321.3999999999996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-3</val>
          </value>
        </values>
      </ddeItem>
      <ddeItem name="NETCHANGERATE" advise="1">
        <values>
          <value t="str">
            <val>-0.06%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4790.2</val>
          </value>
        </values>
      </ddeItem>
      <ddeItem name="POSIVOL" advise="1">
        <values>
          <value>
            <val>136266</val>
          </value>
        </values>
      </ddeItem>
      <ddeItem name="POSIVOLCHANGE" advise="1">
        <values>
          <value>
            <val>-1</val>
          </value>
        </values>
      </ddeItem>
      <ddeItem name="POSIVOLCHANGEDAILY" advise="1">
        <values>
          <value>
            <val>-12386</val>
          </value>
        </values>
      </ddeItem>
      <ddeItem name="PRECLOSE" advise="1">
        <values>
          <value>
            <val>4813.2</val>
          </value>
        </values>
      </ddeItem>
      <ddeItem name="PRESETTLEPRICE" advise="1">
        <values>
          <value>
            <val>4801.3999999999996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56131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5281.4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349462299">
    <ddeItems>
      <ddeItem name="ASKPRICE1" advise="1">
        <values>
          <value>
            <val>2930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2929.8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2944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2930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2916.8</val>
          </value>
        </values>
      </ddeItem>
      <ddeItem name="LOWERLIMITPRICE" advise="1">
        <values>
          <value>
            <val>2633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4.5999999999999091</val>
          </value>
        </values>
      </ddeItem>
      <ddeItem name="NETCHANGERATE" advise="1">
        <values>
          <value t="str">
            <val>+0.16%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2919</val>
          </value>
        </values>
      </ddeItem>
      <ddeItem name="POSIVOL" advise="1">
        <values>
          <value>
            <val>56193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-4845</val>
          </value>
        </values>
      </ddeItem>
      <ddeItem name="PRECLOSE" advise="1">
        <values>
          <value>
            <val>2931.4</val>
          </value>
        </values>
      </ddeItem>
      <ddeItem name="PRESETTLEPRICE" advise="1">
        <values>
          <value>
            <val>2925.4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28185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3217.8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956049872">
    <ddeItems>
      <ddeItem name="ASKPRICE1" advise="1">
        <values>
          <value>
            <val>8656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8655.6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8702.2000000000007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8656.6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8581</val>
          </value>
        </values>
      </ddeItem>
      <ddeItem name="LOWERLIMITPRICE" advise="1">
        <values>
          <value>
            <val>7823.2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-35.799999999999272</val>
          </value>
        </values>
      </ddeItem>
      <ddeItem name="NETCHANGERATE" advise="1">
        <values>
          <value t="str">
            <val>-0.41%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8692.2000000000007</val>
          </value>
        </values>
      </ddeItem>
      <ddeItem name="POSIVOL" advise="1">
        <values>
          <value>
            <val>216492</val>
          </value>
        </values>
      </ddeItem>
      <ddeItem name="POSIVOLCHANGE" advise="1">
        <values>
          <value>
            <val>5</val>
          </value>
        </values>
      </ddeItem>
      <ddeItem name="POSIVOLCHANGEDAILY" advise="1">
        <values>
          <value>
            <val>-22509</val>
          </value>
        </values>
      </ddeItem>
      <ddeItem name="PRECLOSE" advise="1">
        <values>
          <value>
            <val>8718.6</val>
          </value>
        </values>
      </ddeItem>
      <ddeItem name="PRESETTLEPRICE" advise="1">
        <values>
          <value>
            <val>8692.4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147893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9561.6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54865684">
    <ddeItems>
      <ddeItem name="ASKPRICE1" advise="1"/>
      <ddeItem name="ASKVOLUME1" advise="1">
        <values>
          <value>
            <val>0</val>
          </value>
        </values>
      </ddeItem>
      <ddeItem name="BIDPRICE1" advise="1"/>
      <ddeItem name="BIDVOLUME1" advise="1">
        <values>
          <value>
            <val>0</val>
          </value>
        </values>
      </ddeItem>
      <ddeItem name="CLOSEPRICE" advise="1"/>
      <ddeItem name="FEE" advise="1"/>
      <ddeItem name="HIGH" advise="1"/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2662</val>
          </value>
        </values>
      </ddeItem>
      <ddeItem name="LONGPOSITION2200107473" advise="1">
        <values>
          <value>
            <val>0</val>
          </value>
        </values>
      </ddeItem>
      <ddeItem name="LOW" advise="1"/>
      <ddeItem name="LOWERLIMITPRICE" advise="1">
        <values>
          <value>
            <val>2289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/>
      <ddeItem name="NETCHANGERATE" advise="1"/>
      <ddeItem name="NETVOLUME2200107473" advise="1">
        <values>
          <value>
            <val>0</val>
          </value>
        </values>
      </ddeItem>
      <ddeItem name="OPENPRICE" advise="1"/>
      <ddeItem name="POSIVOL" advise="1">
        <values>
          <value>
            <val>0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/>
      <ddeItem name="PRESETTLEPRICE" advise="1">
        <values>
          <value>
            <val>2662</val>
          </value>
        </values>
      </ddeItem>
      <ddeItem name="SETTLEPRICE" advise="1">
        <values>
          <value>
            <val>2662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0</val>
          </value>
        </values>
      </ddeItem>
      <ddeItem name="UPDATETIME" advise="1">
        <values>
          <value t="str">
            <val>22:00:46.500</val>
          </value>
        </values>
      </ddeItem>
      <ddeItem name="UPPERLIMITPRICE" advise="1">
        <values>
          <value>
            <val>3035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728233129">
    <ddeItems>
      <ddeItem name="ASKPRICE1" advise="1">
        <values>
          <value>
            <val>2982</val>
          </value>
        </values>
      </ddeItem>
      <ddeItem name="ASKVOLUME1" advise="1">
        <values>
          <value>
            <val>31</val>
          </value>
        </values>
      </ddeItem>
      <ddeItem name="BIDPRICE1" advise="1">
        <values>
          <value>
            <val>2981</val>
          </value>
        </values>
      </ddeItem>
      <ddeItem name="BIDVOLUME1" advise="1">
        <values>
          <value>
            <val>250</val>
          </value>
        </values>
      </ddeItem>
      <ddeItem name="CLOSEPRICE" advise="1"/>
      <ddeItem name="FEE" advise="1"/>
      <ddeItem name="HIGH" advise="1">
        <values>
          <value>
            <val>2997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2982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2960</val>
          </value>
        </values>
      </ddeItem>
      <ddeItem name="LOWERLIMITPRICE" advise="1">
        <values>
          <value>
            <val>2618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40</val>
          </value>
        </values>
      </ddeItem>
      <ddeItem name="NETCHANGERATE" advise="1">
        <values>
          <value t="str">
            <val>+1.36%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2966</val>
          </value>
        </values>
      </ddeItem>
      <ddeItem name="POSIVOL" advise="1">
        <values>
          <value>
            <val>721224</val>
          </value>
        </values>
      </ddeItem>
      <ddeItem name="POSIVOLCHANGE" advise="1">
        <values>
          <value>
            <val>-2</val>
          </value>
        </values>
      </ddeItem>
      <ddeItem name="POSIVOLCHANGEDAILY" advise="1">
        <values>
          <value>
            <val>11172</val>
          </value>
        </values>
      </ddeItem>
      <ddeItem name="PRECLOSE" advise="1">
        <values>
          <value>
            <val>2963</val>
          </value>
        </values>
      </ddeItem>
      <ddeItem name="PRESETTLEPRICE" advise="1">
        <values>
          <value>
            <val>2942</val>
          </value>
        </values>
      </ddeItem>
      <ddeItem name="SETTLEPRICE" advise="1">
        <values>
          <value>
            <val>2980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519898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3266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131748607">
    <ddeItems>
      <ddeItem name="ASKPRICE1" advise="1">
        <values>
          <value>
            <val>9871</val>
          </value>
        </values>
      </ddeItem>
      <ddeItem name="ASKVOLUME1" advise="1">
        <values>
          <value>
            <val>10</val>
          </value>
        </values>
      </ddeItem>
      <ddeItem name="BIDPRICE1" advise="1">
        <values>
          <value>
            <val>9869</val>
          </value>
        </values>
      </ddeItem>
      <ddeItem name="BIDVOLUME1" advise="1">
        <values>
          <value>
            <val>30</val>
          </value>
        </values>
      </ddeItem>
      <ddeItem name="CLOSEPRICE" advise="1"/>
      <ddeItem name="FEE" advise="1"/>
      <ddeItem name="HIGH" advise="1">
        <values>
          <value>
            <val>9876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9870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9745</val>
          </value>
        </values>
      </ddeItem>
      <ddeItem name="LOWERLIMITPRICE" advise="1">
        <values>
          <value>
            <val>9063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228</val>
          </value>
        </values>
      </ddeItem>
      <ddeItem name="NETCHANGERATE" advise="1">
        <values>
          <value t="str">
            <val>+2.36%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9777</val>
          </value>
        </values>
      </ddeItem>
      <ddeItem name="POSIVOL" advise="1">
        <values>
          <value>
            <val>261735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11455</val>
          </value>
        </values>
      </ddeItem>
      <ddeItem name="PRECLOSE" advise="1">
        <values>
          <value>
            <val>9789</val>
          </value>
        </values>
      </ddeItem>
      <ddeItem name="PRESETTLEPRICE" advise="1">
        <values>
          <value>
            <val>9642</val>
          </value>
        </values>
      </ddeItem>
      <ddeItem name="SETTLEPRICE" advise="1">
        <values>
          <value>
            <val>9774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259935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10221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825889414">
    <ddeItems>
      <ddeItem name="ASKPRICE1" advise="1">
        <values>
          <value>
            <val>7984</val>
          </value>
        </values>
      </ddeItem>
      <ddeItem name="ASKVOLUME1" advise="1">
        <values>
          <value>
            <val>60</val>
          </value>
        </values>
      </ddeItem>
      <ddeItem name="BIDPRICE1" advise="1">
        <values>
          <value>
            <val>7982</val>
          </value>
        </values>
      </ddeItem>
      <ddeItem name="BIDVOLUME1" advise="1">
        <values>
          <value>
            <val>11</val>
          </value>
        </values>
      </ddeItem>
      <ddeItem name="CLOSEPRICE" advise="1"/>
      <ddeItem name="FEE" advise="1"/>
      <ddeItem name="HIGH" advise="1">
        <values>
          <value>
            <val>8050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7982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7946</val>
          </value>
        </values>
      </ddeItem>
      <ddeItem name="LOWERLIMITPRICE" advise="1">
        <values>
          <value>
            <val>7128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-28</val>
          </value>
        </values>
      </ddeItem>
      <ddeItem name="NETCHANGERATE" advise="1">
        <values>
          <value t="str">
            <val>-0.35%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8032</val>
          </value>
        </values>
      </ddeItem>
      <ddeItem name="POSIVOL" advise="1">
        <values>
          <value>
            <val>186891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8549</val>
          </value>
        </values>
      </ddeItem>
      <ddeItem name="PRECLOSE" advise="1">
        <values>
          <value>
            <val>8032</val>
          </value>
        </values>
      </ddeItem>
      <ddeItem name="PRESETTLEPRICE" advise="1">
        <values>
          <value>
            <val>8010</val>
          </value>
        </values>
      </ddeItem>
      <ddeItem name="SETTLEPRICE" advise="1">
        <values>
          <value>
            <val>7996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175178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8892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974500988">
    <ddeItems>
      <ddeItem name="ASKPRICE1" advise="1">
        <values>
          <value>
            <val>8206</val>
          </value>
        </values>
      </ddeItem>
      <ddeItem name="ASKVOLUME1" advise="1">
        <values>
          <value>
            <val>294</val>
          </value>
        </values>
      </ddeItem>
      <ddeItem name="BIDPRICE1" advise="1">
        <values>
          <value>
            <val>8204</val>
          </value>
        </values>
      </ddeItem>
      <ddeItem name="BIDVOLUME1" advise="1">
        <values>
          <value>
            <val>71</val>
          </value>
        </values>
      </ddeItem>
      <ddeItem name="CLOSEPRICE" advise="1"/>
      <ddeItem name="FEE" advise="1"/>
      <ddeItem name="HIGH" advise="1">
        <values>
          <value>
            <val>8236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8204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8194</val>
          </value>
        </values>
      </ddeItem>
      <ddeItem name="LOWERLIMITPRICE" advise="1">
        <values>
          <value>
            <val>7678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34</val>
          </value>
        </values>
      </ddeItem>
      <ddeItem name="NETCHANGERATE" advise="1">
        <values>
          <value t="str">
            <val>+0.42%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8218</val>
          </value>
        </values>
      </ddeItem>
      <ddeItem name="POSIVOL" advise="1">
        <values>
          <value>
            <val>262583</val>
          </value>
        </values>
      </ddeItem>
      <ddeItem name="POSIVOLCHANGE" advise="1">
        <values>
          <value>
            <val>1</val>
          </value>
        </values>
      </ddeItem>
      <ddeItem name="POSIVOLCHANGEDAILY" advise="1">
        <values>
          <value>
            <val>2415</val>
          </value>
        </values>
      </ddeItem>
      <ddeItem name="PRECLOSE" advise="1">
        <values>
          <value>
            <val>8204</val>
          </value>
        </values>
      </ddeItem>
      <ddeItem name="PRESETTLEPRICE" advise="1">
        <values>
          <value>
            <val>8170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63338</val>
          </value>
        </values>
      </ddeItem>
      <ddeItem name="UPDATETIME" advise="1">
        <values>
          <value t="str">
            <val>22:52:35.000</val>
          </value>
        </values>
      </ddeItem>
      <ddeItem name="UPPERLIMITPRICE" advise="1">
        <values>
          <value>
            <val>8662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311310859">
    <ddeItems>
      <ddeItem name="ASKPRICE1" advise="1">
        <values>
          <value>
            <val>8741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8737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8873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8739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8693</val>
          </value>
        </values>
      </ddeItem>
      <ddeItem name="LOWERLIMITPRICE" advise="1">
        <values>
          <value>
            <val>7865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96</val>
          </value>
        </values>
      </ddeItem>
      <ddeItem name="NETCHANGERATE" advise="1">
        <values>
          <value t="str">
            <val>+1.11%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8731</val>
          </value>
        </values>
      </ddeItem>
      <ddeItem name="POSIVOL" advise="1">
        <values>
          <value>
            <val>13865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1092</val>
          </value>
        </values>
      </ddeItem>
      <ddeItem name="PRECLOSE" advise="1">
        <values>
          <value>
            <val>8739</val>
          </value>
        </values>
      </ddeItem>
      <ddeItem name="PRESETTLEPRICE" advise="1">
        <values>
          <value>
            <val>8643</val>
          </value>
        </values>
      </ddeItem>
      <ddeItem name="SETTLEPRICE" advise="1">
        <values>
          <value>
            <val>8804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24073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9421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32503168">
    <ddeItems>
      <ddeItem name="ASKPRICE1" advise="1"/>
      <ddeItem name="ASKVOLUME1" advise="1">
        <values>
          <value>
            <val>0</val>
          </value>
        </values>
      </ddeItem>
      <ddeItem name="BIDPRICE1" advise="1"/>
      <ddeItem name="BIDVOLUME1" advise="1">
        <values>
          <value>
            <val>0</val>
          </value>
        </values>
      </ddeItem>
      <ddeItem name="CLOSEPRICE" advise="1"/>
      <ddeItem name="FEE" advise="1"/>
      <ddeItem name="HIGH" advise="1"/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3122</val>
          </value>
        </values>
      </ddeItem>
      <ddeItem name="LONGPOSITION2200107473" advise="1">
        <values>
          <value>
            <val>0</val>
          </value>
        </values>
      </ddeItem>
      <ddeItem name="LOW" advise="1"/>
      <ddeItem name="LOWERLIMITPRICE" advise="1">
        <values>
          <value>
            <val>2684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/>
      <ddeItem name="NETCHANGERATE" advise="1"/>
      <ddeItem name="NETVOLUME2200107473" advise="1">
        <values>
          <value>
            <val>0</val>
          </value>
        </values>
      </ddeItem>
      <ddeItem name="OPENPRICE" advise="1"/>
      <ddeItem name="POSIVOL" advise="1">
        <values>
          <value>
            <val>0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/>
      <ddeItem name="PRESETTLEPRICE" advise="1">
        <values>
          <value>
            <val>3122</val>
          </value>
        </values>
      </ddeItem>
      <ddeItem name="SETTLEPRICE" advise="1">
        <values>
          <value>
            <val>3122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0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3560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77121187">
    <ddeItems>
      <ddeItem name="ASKPRICE1" advise="1">
        <values>
          <value>
            <val>8314</val>
          </value>
        </values>
      </ddeItem>
      <ddeItem name="ASKVOLUME1" advise="1">
        <values>
          <value>
            <val>5</val>
          </value>
        </values>
      </ddeItem>
      <ddeItem name="BIDPRICE1" advise="1">
        <values>
          <value>
            <val>8312</val>
          </value>
        </values>
      </ddeItem>
      <ddeItem name="BIDVOLUME1" advise="1">
        <values>
          <value>
            <val>12</val>
          </value>
        </values>
      </ddeItem>
      <ddeItem name="CLOSEPRICE" advise="1"/>
      <ddeItem name="FEE" advise="1"/>
      <ddeItem name="HIGH" advise="1">
        <values>
          <value>
            <val>8366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8314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8182</val>
          </value>
        </values>
      </ddeItem>
      <ddeItem name="LOWERLIMITPRICE" advise="1">
        <values>
          <value>
            <val>7304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106</val>
          </value>
        </values>
      </ddeItem>
      <ddeItem name="NETCHANGERATE" advise="1">
        <values>
          <value t="str">
            <val>+1.29%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8268</val>
          </value>
        </values>
      </ddeItem>
      <ddeItem name="POSIVOL" advise="1">
        <values>
          <value>
            <val>46081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28</val>
          </value>
        </values>
      </ddeItem>
      <ddeItem name="PRECLOSE" advise="1">
        <values>
          <value>
            <val>8266</val>
          </value>
        </values>
      </ddeItem>
      <ddeItem name="PRESETTLEPRICE" advise="1">
        <values>
          <value>
            <val>8208</val>
          </value>
        </values>
      </ddeItem>
      <ddeItem name="SETTLEPRICE" advise="1">
        <values>
          <value>
            <val>8226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81016</val>
          </value>
        </values>
      </ddeItem>
      <ddeItem name="UPDATETIME" advise="1">
        <values>
          <value t="str">
            <val>22:52:41.000</val>
          </value>
        </values>
      </ddeItem>
      <ddeItem name="UPPERLIMITPRICE" advise="1">
        <values>
          <value>
            <val>9112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838863961">
    <ddeItems>
      <ddeItem name="ASKPRICE1" advise="1">
        <values>
          <value>
            <val>9292</val>
          </value>
        </values>
      </ddeItem>
      <ddeItem name="ASKVOLUME1" advise="1">
        <values>
          <value>
            <val>12</val>
          </value>
        </values>
      </ddeItem>
      <ddeItem name="BIDPRICE1" advise="1">
        <values>
          <value>
            <val>9288</val>
          </value>
        </values>
      </ddeItem>
      <ddeItem name="BIDVOLUME1" advise="1">
        <values>
          <value>
            <val>34</val>
          </value>
        </values>
      </ddeItem>
      <ddeItem name="CLOSEPRICE" advise="1"/>
      <ddeItem name="FEE" advise="1"/>
      <ddeItem name="HIGH" advise="1">
        <values>
          <value>
            <val>9408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9290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9258</val>
          </value>
        </values>
      </ddeItem>
      <ddeItem name="LOWERLIMITPRICE" advise="1">
        <values>
          <value>
            <val>8298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-34</val>
          </value>
        </values>
      </ddeItem>
      <ddeItem name="NETCHANGERATE" advise="1">
        <values>
          <value t="str">
            <val>-0.36%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9356</val>
          </value>
        </values>
      </ddeItem>
      <ddeItem name="POSIVOL" advise="1">
        <values>
          <value>
            <val>185172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-8116</val>
          </value>
        </values>
      </ddeItem>
      <ddeItem name="PRECLOSE" advise="1">
        <values>
          <value>
            <val>9364</val>
          </value>
        </values>
      </ddeItem>
      <ddeItem name="PRESETTLEPRICE" advise="1">
        <values>
          <value>
            <val>9324</val>
          </value>
        </values>
      </ddeItem>
      <ddeItem name="SETTLEPRICE" advise="1">
        <values>
          <value>
            <val>9328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223054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10350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101965717">
    <ddeItems>
      <ddeItem name="ASKPRICE1" advise="1"/>
      <ddeItem name="ASKVOLUME1" advise="1">
        <values>
          <value>
            <val>0</val>
          </value>
        </values>
      </ddeItem>
      <ddeItem name="BIDPRICE1" advise="1"/>
      <ddeItem name="BIDVOLUME1" advise="1">
        <values>
          <value>
            <val>0</val>
          </value>
        </values>
      </ddeItem>
      <ddeItem name="CLOSEPRICE" advise="1"/>
      <ddeItem name="FEE" advise="1"/>
      <ddeItem name="HIGH" advise="1"/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2479</val>
          </value>
        </values>
      </ddeItem>
      <ddeItem name="LONGPOSITION2200107473" advise="1">
        <values>
          <value>
            <val>0</val>
          </value>
        </values>
      </ddeItem>
      <ddeItem name="LOW" advise="1"/>
      <ddeItem name="LOWERLIMITPRICE" advise="1">
        <values>
          <value>
            <val>2131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/>
      <ddeItem name="NETCHANGERATE" advise="1"/>
      <ddeItem name="NETVOLUME2200107473" advise="1">
        <values>
          <value>
            <val>0</val>
          </value>
        </values>
      </ddeItem>
      <ddeItem name="OPENPRICE" advise="1"/>
      <ddeItem name="POSIVOL" advise="1">
        <values>
          <value>
            <val>0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/>
      <ddeItem name="PRESETTLEPRICE" advise="1">
        <values>
          <value>
            <val>2479</val>
          </value>
        </values>
      </ddeItem>
      <ddeItem name="SETTLEPRICE" advise="1">
        <values>
          <value>
            <val>2479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0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2827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428550180">
    <ddeItems>
      <ddeItem name="ASKPRICE1" advise="1">
        <values>
          <value>
            <val>2375</val>
          </value>
        </values>
      </ddeItem>
      <ddeItem name="ASKVOLUME1" advise="1">
        <values>
          <value>
            <val>664</val>
          </value>
        </values>
      </ddeItem>
      <ddeItem name="BIDPRICE1" advise="1">
        <values>
          <value>
            <val>2374</val>
          </value>
        </values>
      </ddeItem>
      <ddeItem name="BIDVOLUME1" advise="1">
        <values>
          <value>
            <val>262</val>
          </value>
        </values>
      </ddeItem>
      <ddeItem name="CLOSEPRICE" advise="1"/>
      <ddeItem name="FEE" advise="1"/>
      <ddeItem name="HIGH" advise="1">
        <values>
          <value>
            <val>2379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2374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2358</val>
          </value>
        </values>
      </ddeItem>
      <ddeItem name="LOWERLIMITPRICE" advise="1">
        <values>
          <value>
            <val>2207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26</val>
          </value>
        </values>
      </ddeItem>
      <ddeItem name="NETCHANGERATE" advise="1">
        <values>
          <value t="str">
            <val>+1.11%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2375</val>
          </value>
        </values>
      </ddeItem>
      <ddeItem name="POSIVOL" advise="1">
        <values>
          <value>
            <val>860070</val>
          </value>
        </values>
      </ddeItem>
      <ddeItem name="POSIVOLCHANGE" advise="1">
        <values>
          <value>
            <val>-3</val>
          </value>
        </values>
      </ddeItem>
      <ddeItem name="POSIVOLCHANGEDAILY" advise="1">
        <values>
          <value>
            <val>994</val>
          </value>
        </values>
      </ddeItem>
      <ddeItem name="PRECLOSE" advise="1">
        <values>
          <value>
            <val>2373</val>
          </value>
        </values>
      </ddeItem>
      <ddeItem name="PRESETTLEPRICE" advise="1">
        <values>
          <value>
            <val>2348</val>
          </value>
        </values>
      </ddeItem>
      <ddeItem name="SETTLEPRICE" advise="1">
        <values>
          <value>
            <val>2371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552200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2489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830650000">
    <ddeItems>
      <ddeItem name="ASKPRICE1" advise="1">
        <values>
          <value>
            <val>5710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5685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5757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5699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5641</val>
          </value>
        </values>
      </ddeItem>
      <ddeItem name="LOWERLIMITPRICE" advise="1">
        <values>
          <value>
            <val>5113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17</val>
          </value>
        </values>
      </ddeItem>
      <ddeItem name="NETCHANGERATE" advise="1">
        <values>
          <value t="str">
            <val>+0.30%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5641</val>
          </value>
        </values>
      </ddeItem>
      <ddeItem name="POSIVOL" advise="1">
        <values>
          <value>
            <val>40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>
        <values>
          <value>
            <val>5695</val>
          </value>
        </values>
      </ddeItem>
      <ddeItem name="PRESETTLEPRICE" advise="1">
        <values>
          <value>
            <val>5682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42</val>
          </value>
        </values>
      </ddeItem>
      <ddeItem name="UPDATETIME" advise="1">
        <values>
          <value t="str">
            <val>22:46:07.000</val>
          </value>
        </values>
      </ddeItem>
      <ddeItem name="UPPERLIMITPRICE" advise="1">
        <values>
          <value>
            <val>6251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059443005">
    <ddeItems>
      <ddeItem name="ASKPRICE1" advise="1">
        <values>
          <value>
            <val>1181</val>
          </value>
        </values>
      </ddeItem>
      <ddeItem name="ASKVOLUME1" advise="1">
        <values>
          <value>
            <val>1956</val>
          </value>
        </values>
      </ddeItem>
      <ddeItem name="BIDPRICE1" advise="1">
        <values>
          <value>
            <val>1180</val>
          </value>
        </values>
      </ddeItem>
      <ddeItem name="BIDVOLUME1" advise="1">
        <values>
          <value>
            <val>648</val>
          </value>
        </values>
      </ddeItem>
      <ddeItem name="CLOSEPRICE" advise="1"/>
      <ddeItem name="FEE" advise="1"/>
      <ddeItem name="HIGH" advise="1">
        <values>
          <value>
            <val>1194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1180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1175</val>
          </value>
        </values>
      </ddeItem>
      <ddeItem name="LOWERLIMITPRICE" advise="1">
        <values>
          <value>
            <val>1098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-14</val>
          </value>
        </values>
      </ddeItem>
      <ddeItem name="NETCHANGERATE" advise="1">
        <values>
          <value t="str">
            <val>-1.17%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1193</val>
          </value>
        </values>
      </ddeItem>
      <ddeItem name="POSIVOL" advise="1">
        <values>
          <value>
            <val>1246809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52847</val>
          </value>
        </values>
      </ddeItem>
      <ddeItem name="PRECLOSE" advise="1">
        <values>
          <value>
            <val>1193</val>
          </value>
        </values>
      </ddeItem>
      <ddeItem name="PRESETTLEPRICE" advise="1">
        <values>
          <value>
            <val>1194</val>
          </value>
        </values>
      </ddeItem>
      <ddeItem name="SETTLEPRICE" advise="1">
        <values>
          <value>
            <val>1186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552035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1290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703527677">
    <ddeItems>
      <ddeItem name="ASKPRICE1" advise="1">
        <values>
          <value>
            <val>5876</val>
          </value>
        </values>
      </ddeItem>
      <ddeItem name="ASKVOLUME1" advise="1">
        <values>
          <value>
            <val>35</val>
          </value>
        </values>
      </ddeItem>
      <ddeItem name="BIDPRICE1" advise="1">
        <values>
          <value>
            <val>5874</val>
          </value>
        </values>
      </ddeItem>
      <ddeItem name="BIDVOLUME1" advise="1">
        <values>
          <value>
            <val>182</val>
          </value>
        </values>
      </ddeItem>
      <ddeItem name="CLOSEPRICE" advise="1"/>
      <ddeItem name="FEE" advise="1"/>
      <ddeItem name="HIGH" advise="1">
        <values>
          <value>
            <val>5886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5876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5806</val>
          </value>
        </values>
      </ddeItem>
      <ddeItem name="LOWERLIMITPRICE" advise="1">
        <values>
          <value>
            <val>5420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48</val>
          </value>
        </values>
      </ddeItem>
      <ddeItem name="NETCHANGERATE" advise="1">
        <values>
          <value t="str">
            <val>+0.82%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5850</val>
          </value>
        </values>
      </ddeItem>
      <ddeItem name="POSIVOL" advise="1">
        <values>
          <value>
            <val>269053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1830</val>
          </value>
        </values>
      </ddeItem>
      <ddeItem name="PRECLOSE" advise="1">
        <values>
          <value>
            <val>5850</val>
          </value>
        </values>
      </ddeItem>
      <ddeItem name="PRESETTLEPRICE" advise="1">
        <values>
          <value>
            <val>5828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219787</val>
          </value>
        </values>
      </ddeItem>
      <ddeItem name="UPDATETIME" advise="1">
        <values>
          <value t="str">
            <val>22:52:41.000</val>
          </value>
        </values>
      </ddeItem>
      <ddeItem name="UPPERLIMITPRICE" advise="1">
        <values>
          <value>
            <val>6236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703120103">
    <ddeItems>
      <ddeItem name="ASKPRICE1" advise="1">
        <values>
          <value>
            <val>2026</val>
          </value>
        </values>
      </ddeItem>
      <ddeItem name="ASKVOLUME1" advise="1">
        <values>
          <value>
            <val>110</val>
          </value>
        </values>
      </ddeItem>
      <ddeItem name="BIDPRICE1" advise="1">
        <values>
          <value>
            <val>2025</val>
          </value>
        </values>
      </ddeItem>
      <ddeItem name="BIDVOLUME1" advise="1">
        <values>
          <value>
            <val>143</val>
          </value>
        </values>
      </ddeItem>
      <ddeItem name="CLOSEPRICE" advise="1"/>
      <ddeItem name="FEE" advise="1"/>
      <ddeItem name="HIGH" advise="1">
        <values>
          <value>
            <val>2047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2026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2000</val>
          </value>
        </values>
      </ddeItem>
      <ddeItem name="LOWERLIMITPRICE" advise="1">
        <values>
          <value>
            <val>1814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10</val>
          </value>
        </values>
      </ddeItem>
      <ddeItem name="NETCHANGERATE" advise="1">
        <values>
          <value t="str">
            <val>+0.50%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2038</val>
          </value>
        </values>
      </ddeItem>
      <ddeItem name="POSIVOL" advise="1">
        <values>
          <value>
            <val>264038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601</val>
          </value>
        </values>
      </ddeItem>
      <ddeItem name="PRECLOSE" advise="1">
        <values>
          <value>
            <val>2042</val>
          </value>
        </values>
      </ddeItem>
      <ddeItem name="PRESETTLEPRICE" advise="1">
        <values>
          <value>
            <val>2016</val>
          </value>
        </values>
      </ddeItem>
      <ddeItem name="SETTLEPRICE" advise="1">
        <values>
          <value>
            <val>2015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554603</val>
          </value>
        </values>
      </ddeItem>
      <ddeItem name="UPDATETIME" advise="1">
        <values>
          <value t="str">
            <val>22:52:41.000</val>
          </value>
        </values>
      </ddeItem>
      <ddeItem name="UPPERLIMITPRICE" advise="1">
        <values>
          <value>
            <val>2218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075707173">
    <ddeItems>
      <ddeItem name="ASKPRICE1" advise="1">
        <values>
          <value>
            <val>5924</val>
          </value>
        </values>
      </ddeItem>
      <ddeItem name="ASKVOLUME1" advise="1">
        <values>
          <value>
            <val>78</val>
          </value>
        </values>
      </ddeItem>
      <ddeItem name="BIDPRICE1" advise="1">
        <values>
          <value>
            <val>5922</val>
          </value>
        </values>
      </ddeItem>
      <ddeItem name="BIDVOLUME1" advise="1">
        <values>
          <value>
            <val>231</val>
          </value>
        </values>
      </ddeItem>
      <ddeItem name="CLOSEPRICE" advise="1"/>
      <ddeItem name="FEE" advise="1"/>
      <ddeItem name="HIGH" advise="1">
        <values>
          <value>
            <val>5934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5924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5884</val>
          </value>
        </values>
      </ddeItem>
      <ddeItem name="LOWERLIMITPRICE" advise="1">
        <values>
          <value>
            <val>5504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4</val>
          </value>
        </values>
      </ddeItem>
      <ddeItem name="NETCHANGERATE" advise="1">
        <values>
          <value t="str">
            <val>+0.07%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5894</val>
          </value>
        </values>
      </ddeItem>
      <ddeItem name="POSIVOL" advise="1">
        <values>
          <value>
            <val>414455</val>
          </value>
        </values>
      </ddeItem>
      <ddeItem name="POSIVOLCHANGE" advise="1">
        <values>
          <value>
            <val>-2</val>
          </value>
        </values>
      </ddeItem>
      <ddeItem name="POSIVOLCHANGEDAILY" advise="1">
        <values>
          <value>
            <val>2619</val>
          </value>
        </values>
      </ddeItem>
      <ddeItem name="PRECLOSE" advise="1">
        <values>
          <value>
            <val>5908</val>
          </value>
        </values>
      </ddeItem>
      <ddeItem name="PRESETTLEPRICE" advise="1">
        <values>
          <value>
            <val>5920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158248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6336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902000512">
    <ddeItems>
      <ddeItem name="ASKPRICE1" advise="1">
        <values>
          <value>
            <val>5398</val>
          </value>
        </values>
      </ddeItem>
      <ddeItem name="ASKVOLUME1" advise="1">
        <values>
          <value>
            <val>215</val>
          </value>
        </values>
      </ddeItem>
      <ddeItem name="BIDPRICE1" advise="1">
        <values>
          <value>
            <val>5397</val>
          </value>
        </values>
      </ddeItem>
      <ddeItem name="BIDVOLUME1" advise="1">
        <values>
          <value>
            <val>177</val>
          </value>
        </values>
      </ddeItem>
      <ddeItem name="CLOSEPRICE" advise="1"/>
      <ddeItem name="FEE" advise="1"/>
      <ddeItem name="HIGH" advise="1">
        <values>
          <value>
            <val>5439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5398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5381</val>
          </value>
        </values>
      </ddeItem>
      <ddeItem name="LOWERLIMITPRICE" advise="1">
        <values>
          <value>
            <val>5151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-25</val>
          </value>
        </values>
      </ddeItem>
      <ddeItem name="NETCHANGERATE" advise="1">
        <values>
          <value t="str">
            <val>-0.46%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5437</val>
          </value>
        </values>
      </ddeItem>
      <ddeItem name="POSIVOL" advise="1">
        <values>
          <value>
            <val>641943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10236</val>
          </value>
        </values>
      </ddeItem>
      <ddeItem name="PRECLOSE" advise="1">
        <values>
          <value>
            <val>5430</val>
          </value>
        </values>
      </ddeItem>
      <ddeItem name="PRESETTLEPRICE" advise="1">
        <values>
          <value>
            <val>5423</val>
          </value>
        </values>
      </ddeItem>
      <ddeItem name="SETTLEPRICE" advise="1">
        <values>
          <value>
            <val>5430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412743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5695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860452320">
    <ddeItems>
      <ddeItem name="ASKPRICE1" advise="1">
        <values>
          <value>
            <val>109.14</val>
          </value>
        </values>
      </ddeItem>
      <ddeItem name="ASKVOLUME1" advise="1">
        <values>
          <value>
            <val>229</val>
          </value>
        </values>
      </ddeItem>
      <ddeItem name="BIDPRICE1" advise="1">
        <values>
          <value>
            <val>109.13500000000001</val>
          </value>
        </values>
      </ddeItem>
      <ddeItem name="BIDVOLUME1" advise="1">
        <values>
          <value>
            <val>82</val>
          </value>
        </values>
      </ddeItem>
      <ddeItem name="CLOSEPRICE" advise="1"/>
      <ddeItem name="FEE" advise="1"/>
      <ddeItem name="HIGH" advise="1">
        <values>
          <value>
            <val>109.205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109.14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109.06</val>
          </value>
        </values>
      </ddeItem>
      <ddeItem name="LOWERLIMITPRICE" advise="1">
        <values>
          <value>
            <val>106.92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4.0000000000006253E-2</val>
          </value>
        </values>
      </ddeItem>
      <ddeItem name="NETCHANGERATE" advise="1">
        <values>
          <value t="str">
            <val>+0.04%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109.08</val>
          </value>
        </values>
      </ddeItem>
      <ddeItem name="POSIVOL" advise="1">
        <values>
          <value>
            <val>244184</val>
          </value>
        </values>
      </ddeItem>
      <ddeItem name="POSIVOLCHANGE" advise="1">
        <values>
          <value>
            <val>1</val>
          </value>
        </values>
      </ddeItem>
      <ddeItem name="POSIVOLCHANGEDAILY" advise="1">
        <values>
          <value>
            <val>-8932</val>
          </value>
        </values>
      </ddeItem>
      <ddeItem name="PRECLOSE" advise="1">
        <values>
          <value>
            <val>109.11</val>
          </value>
        </values>
      </ddeItem>
      <ddeItem name="PRESETTLEPRICE" advise="1">
        <values>
          <value>
            <val>109.1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77435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111.28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379055600">
    <ddeItems>
      <ddeItem name="ASKPRICE1" advise="1">
        <values>
          <value>
            <val>6386</val>
          </value>
        </values>
      </ddeItem>
      <ddeItem name="ASKVOLUME1" advise="1">
        <values>
          <value>
            <val>154</val>
          </value>
        </values>
      </ddeItem>
      <ddeItem name="BIDPRICE1" advise="1">
        <values>
          <value>
            <val>6384</val>
          </value>
        </values>
      </ddeItem>
      <ddeItem name="BIDVOLUME1" advise="1">
        <values>
          <value>
            <val>49</val>
          </value>
        </values>
      </ddeItem>
      <ddeItem name="CLOSEPRICE" advise="1"/>
      <ddeItem name="FEE" advise="1"/>
      <ddeItem name="HIGH" advise="1">
        <values>
          <value>
            <val>6442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6384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6354</val>
          </value>
        </values>
      </ddeItem>
      <ddeItem name="LOWERLIMITPRICE" advise="1">
        <values>
          <value>
            <val>5674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8</val>
          </value>
        </values>
      </ddeItem>
      <ddeItem name="NETCHANGERATE" advise="1">
        <values>
          <value t="str">
            <val>+0.13%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6414</val>
          </value>
        </values>
      </ddeItem>
      <ddeItem name="POSIVOL" advise="1">
        <values>
          <value>
            <val>1066692</val>
          </value>
        </values>
      </ddeItem>
      <ddeItem name="POSIVOLCHANGE" advise="1">
        <values>
          <value>
            <val>-2</val>
          </value>
        </values>
      </ddeItem>
      <ddeItem name="POSIVOLCHANGEDAILY" advise="1">
        <values>
          <value>
            <val>-2956</val>
          </value>
        </values>
      </ddeItem>
      <ddeItem name="PRECLOSE" advise="1">
        <values>
          <value>
            <val>6410</val>
          </value>
        </values>
      </ddeItem>
      <ddeItem name="PRESETTLEPRICE" advise="1">
        <values>
          <value>
            <val>6376</val>
          </value>
        </values>
      </ddeItem>
      <ddeItem name="SETTLEPRICE" advise="1">
        <values>
          <value>
            <val>6394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750871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7078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77657980">
    <ddeItems>
      <ddeItem name="ASKPRICE1" advise="1">
        <values>
          <value>
            <val>106.58</val>
          </value>
        </values>
      </ddeItem>
      <ddeItem name="ASKVOLUME1" advise="1">
        <values>
          <value>
            <val>198</val>
          </value>
        </values>
      </ddeItem>
      <ddeItem name="BIDPRICE1" advise="1">
        <values>
          <value>
            <val>106.575</val>
          </value>
        </values>
      </ddeItem>
      <ddeItem name="BIDVOLUME1" advise="1">
        <values>
          <value>
            <val>235</val>
          </value>
        </values>
      </ddeItem>
      <ddeItem name="CLOSEPRICE" advise="1"/>
      <ddeItem name="FEE" advise="1"/>
      <ddeItem name="HIGH" advise="1">
        <values>
          <value>
            <val>106.595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106.575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106.5</val>
          </value>
        </values>
      </ddeItem>
      <ddeItem name="LOWERLIMITPRICE" advise="1">
        <values>
          <value>
            <val>105.255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4.5000000000001705E-2</val>
          </value>
        </values>
      </ddeItem>
      <ddeItem name="NETCHANGERATE" advise="1">
        <values>
          <value t="str">
            <val>+0.04%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106.52500000000001</val>
          </value>
        </values>
      </ddeItem>
      <ddeItem name="POSIVOL" advise="1">
        <values>
          <value>
            <val>168264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-4597</val>
          </value>
        </values>
      </ddeItem>
      <ddeItem name="PRECLOSE" advise="1">
        <values>
          <value>
            <val>106.52500000000001</val>
          </value>
        </values>
      </ddeItem>
      <ddeItem name="PRESETTLEPRICE" advise="1">
        <values>
          <value>
            <val>106.53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54875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107.80500000000001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972938499">
    <ddeItems>
      <ddeItem name="ASKPRICE1" advise="1">
        <values>
          <value>
            <val>113.36</val>
          </value>
        </values>
      </ddeItem>
      <ddeItem name="ASKVOLUME1" advise="1">
        <values>
          <value>
            <val>74</val>
          </value>
        </values>
      </ddeItem>
      <ddeItem name="BIDPRICE1" advise="1">
        <values>
          <value>
            <val>113.35</val>
          </value>
        </values>
      </ddeItem>
      <ddeItem name="BIDVOLUME1" advise="1">
        <values>
          <value>
            <val>18</val>
          </value>
        </values>
      </ddeItem>
      <ddeItem name="CLOSEPRICE" advise="1"/>
      <ddeItem name="FEE" advise="1"/>
      <ddeItem name="HIGH" advise="1">
        <values>
          <value>
            <val>113.51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113.35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113.22</val>
          </value>
        </values>
      </ddeItem>
      <ddeItem name="LOWERLIMITPRICE" advise="1">
        <values>
          <value>
            <val>109.39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0</val>
          </value>
        </values>
      </ddeItem>
      <ddeItem name="NETCHANGERATE" advise="1">
        <values>
          <value t="str">
            <val>0.00%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113.3</val>
          </value>
        </values>
      </ddeItem>
      <ddeItem name="POSIVOL" advise="1">
        <values>
          <value>
            <val>78968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-13501</val>
          </value>
        </values>
      </ddeItem>
      <ddeItem name="PRECLOSE" advise="1">
        <values>
          <value>
            <val>113.43</val>
          </value>
        </values>
      </ddeItem>
      <ddeItem name="PRESETTLEPRICE" advise="1">
        <values>
          <value>
            <val>113.35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74930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117.31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370830513">
    <ddeItems>
      <ddeItem name="ASKPRICE1" advise="1">
        <values>
          <value>
            <val>102.68600000000001</val>
          </value>
        </values>
      </ddeItem>
      <ddeItem name="ASKVOLUME1" advise="1">
        <values>
          <value>
            <val>61</val>
          </value>
        </values>
      </ddeItem>
      <ddeItem name="BIDPRICE1" advise="1">
        <values>
          <value>
            <val>102.684</val>
          </value>
        </values>
      </ddeItem>
      <ddeItem name="BIDVOLUME1" advise="1">
        <values>
          <value>
            <val>99</val>
          </value>
        </values>
      </ddeItem>
      <ddeItem name="CLOSEPRICE" advise="1"/>
      <ddeItem name="FEE" advise="1"/>
      <ddeItem name="HIGH" advise="1">
        <values>
          <value>
            <val>102.69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102.68600000000001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102.658</val>
          </value>
        </values>
      </ddeItem>
      <ddeItem name="LOWERLIMITPRICE" advise="1">
        <values>
          <value>
            <val>102.152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2.2000000000005571E-2</val>
          </value>
        </values>
      </ddeItem>
      <ddeItem name="NETCHANGERATE" advise="1">
        <values>
          <value t="str">
            <val>+0.02%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102.66</val>
          </value>
        </values>
      </ddeItem>
      <ddeItem name="POSIVOL" advise="1">
        <values>
          <value>
            <val>61694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-2263</val>
          </value>
        </values>
      </ddeItem>
      <ddeItem name="PRECLOSE" advise="1">
        <values>
          <value>
            <val>102.666</val>
          </value>
        </values>
      </ddeItem>
      <ddeItem name="PRESETTLEPRICE" advise="1">
        <values>
          <value>
            <val>102.664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26326</val>
          </value>
        </values>
      </ddeItem>
      <ddeItem name="UPDATETIME" advise="1">
        <values>
          <value t="str">
            <val>22:52:38.500</val>
          </value>
        </values>
      </ddeItem>
      <ddeItem name="UPPERLIMITPRICE" advise="1">
        <values>
          <value>
            <val>103.176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429849181">
    <ddeItems>
      <ddeItem name="ASKPRICE1" advise="1">
        <values>
          <value>
            <val>1847</val>
          </value>
        </values>
      </ddeItem>
      <ddeItem name="ASKVOLUME1" advise="1">
        <values>
          <value>
            <val>460</val>
          </value>
        </values>
      </ddeItem>
      <ddeItem name="BIDPRICE1" advise="1">
        <values>
          <value>
            <val>1846</val>
          </value>
        </values>
      </ddeItem>
      <ddeItem name="BIDVOLUME1" advise="1">
        <values>
          <value>
            <val>307</val>
          </value>
        </values>
      </ddeItem>
      <ddeItem name="CLOSEPRICE" advise="1"/>
      <ddeItem name="FEE" advise="1"/>
      <ddeItem name="HIGH" advise="1">
        <values>
          <value>
            <val>1850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1847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1812</val>
          </value>
        </values>
      </ddeItem>
      <ddeItem name="LOWERLIMITPRICE" advise="1">
        <values>
          <value>
            <val>1695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24</val>
          </value>
        </values>
      </ddeItem>
      <ddeItem name="NETCHANGERATE" advise="1">
        <values>
          <value t="str">
            <val>+1.32%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1820</val>
          </value>
        </values>
      </ddeItem>
      <ddeItem name="POSIVOL" advise="1">
        <values>
          <value>
            <val>350953</val>
          </value>
        </values>
      </ddeItem>
      <ddeItem name="POSIVOLCHANGE" advise="1">
        <values>
          <value>
            <val>-1</val>
          </value>
        </values>
      </ddeItem>
      <ddeItem name="POSIVOLCHANGEDAILY" advise="1">
        <values>
          <value>
            <val>8962</val>
          </value>
        </values>
      </ddeItem>
      <ddeItem name="PRECLOSE" advise="1">
        <values>
          <value>
            <val>1817</val>
          </value>
        </values>
      </ddeItem>
      <ddeItem name="PRESETTLEPRICE" advise="1">
        <values>
          <value>
            <val>1823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370664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1951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163251780">
    <ddeItems>
      <ddeItem name="ASKPRICE1" advise="1"/>
      <ddeItem name="ASKVOLUME1" advise="1">
        <values>
          <value>
            <val>0</val>
          </value>
        </values>
      </ddeItem>
      <ddeItem name="BIDPRICE1" advise="1"/>
      <ddeItem name="BIDVOLUME1" advise="1">
        <values>
          <value>
            <val>0</val>
          </value>
        </values>
      </ddeItem>
      <ddeItem name="CLOSEPRICE" advise="1"/>
      <ddeItem name="FEE" advise="1"/>
      <ddeItem name="HIGH" advise="1"/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3198</val>
          </value>
        </values>
      </ddeItem>
      <ddeItem name="LONGPOSITION2200107473" advise="1">
        <values>
          <value>
            <val>0</val>
          </value>
        </values>
      </ddeItem>
      <ddeItem name="LOW" advise="1"/>
      <ddeItem name="LOWERLIMITPRICE" advise="1">
        <values>
          <value>
            <val>2750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/>
      <ddeItem name="NETCHANGERATE" advise="1"/>
      <ddeItem name="NETVOLUME2200107473" advise="1">
        <values>
          <value>
            <val>0</val>
          </value>
        </values>
      </ddeItem>
      <ddeItem name="OPENPRICE" advise="1"/>
      <ddeItem name="POSIVOL" advise="1">
        <values>
          <value>
            <val>0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/>
      <ddeItem name="PRESETTLEPRICE" advise="1">
        <values>
          <value>
            <val>3198</val>
          </value>
        </values>
      </ddeItem>
      <ddeItem name="SETTLEPRICE" advise="1">
        <values>
          <value>
            <val>3198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0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3646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631996662">
    <ddeItems>
      <ddeItem name="ASKPRICE1" advise="1"/>
      <ddeItem name="ASKVOLUME1" advise="1">
        <values>
          <value>
            <val>0</val>
          </value>
        </values>
      </ddeItem>
      <ddeItem name="BIDPRICE1" advise="1"/>
      <ddeItem name="BIDVOLUME1" advise="1">
        <values>
          <value>
            <val>0</val>
          </value>
        </values>
      </ddeItem>
      <ddeItem name="CLOSEPRICE" advise="1"/>
      <ddeItem name="FEE" advise="1"/>
      <ddeItem name="HIGH" advise="1"/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801.4</val>
          </value>
        </values>
      </ddeItem>
      <ddeItem name="LONGPOSITION2200107473" advise="1">
        <values>
          <value>
            <val>0</val>
          </value>
        </values>
      </ddeItem>
      <ddeItem name="LOW" advise="1"/>
      <ddeItem name="LOWERLIMITPRICE" advise="1">
        <values>
          <value>
            <val>641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/>
      <ddeItem name="NETCHANGERATE" advise="1"/>
      <ddeItem name="NETVOLUME2200107473" advise="1">
        <values>
          <value>
            <val>0</val>
          </value>
        </values>
      </ddeItem>
      <ddeItem name="OPENPRICE" advise="1"/>
      <ddeItem name="POSIVOL" advise="1">
        <values>
          <value>
            <val>0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>
        <values>
          <value>
            <val>801.4</val>
          </value>
        </values>
      </ddeItem>
      <ddeItem name="PRESETTLEPRICE" advise="1">
        <values>
          <value>
            <val>801.4</val>
          </value>
        </values>
      </ddeItem>
      <ddeItem name="SETTLEPRICE" advise="1">
        <values>
          <value>
            <val>801.4</val>
          </value>
        </values>
      </ddeItem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0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961.8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082529788">
    <ddeItems>
      <ddeItem name="ASKPRICE1" advise="1">
        <values>
          <value>
            <val>4771</val>
          </value>
        </values>
      </ddeItem>
      <ddeItem name="ASKVOLUME1" advise="1">
        <values>
          <value>
            <val>55</val>
          </value>
        </values>
      </ddeItem>
      <ddeItem name="BIDPRICE1" advise="1">
        <values>
          <value>
            <val>4770</val>
          </value>
        </values>
      </ddeItem>
      <ddeItem name="BIDVOLUME1" advise="1">
        <values>
          <value>
            <val>20</val>
          </value>
        </values>
      </ddeItem>
      <ddeItem name="CLOSEPRICE" advise="1"/>
      <ddeItem name="FEE" advise="1"/>
      <ddeItem name="HIGH" advise="1">
        <values>
          <value>
            <val>4800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4771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4757</val>
          </value>
        </values>
      </ddeItem>
      <ddeItem name="LOWERLIMITPRICE" advise="1">
        <values>
          <value>
            <val>4487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-2</val>
          </value>
        </values>
      </ddeItem>
      <ddeItem name="NETCHANGERATE" advise="1">
        <values>
          <value t="str">
            <val>-0.04%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4794</val>
          </value>
        </values>
      </ddeItem>
      <ddeItem name="POSIVOL" advise="1">
        <values>
          <value>
            <val>288673</val>
          </value>
        </values>
      </ddeItem>
      <ddeItem name="POSIVOLCHANGE" advise="1">
        <values>
          <value>
            <val>-1</val>
          </value>
        </values>
      </ddeItem>
      <ddeItem name="POSIVOLCHANGEDAILY" advise="1">
        <values>
          <value>
            <val>-4973</val>
          </value>
        </values>
      </ddeItem>
      <ddeItem name="PRECLOSE" advise="1">
        <values>
          <value>
            <val>4791</val>
          </value>
        </values>
      </ddeItem>
      <ddeItem name="PRESETTLEPRICE" advise="1">
        <values>
          <value>
            <val>4773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172968</val>
          </value>
        </values>
      </ddeItem>
      <ddeItem name="UPDATETIME" advise="1">
        <values>
          <value t="str">
            <val>22:52:38.500</val>
          </value>
        </values>
      </ddeItem>
      <ddeItem name="UPPERLIMITPRICE" advise="1">
        <values>
          <value>
            <val>5059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268854126">
    <ddeItems>
      <ddeItem name="ASKPRICE1" advise="1">
        <values>
          <value>
            <val>23070</val>
          </value>
        </values>
      </ddeItem>
      <ddeItem name="ASKVOLUME1" advise="1">
        <values>
          <value>
            <val>5</val>
          </value>
        </values>
      </ddeItem>
      <ddeItem name="BIDPRICE1" advise="1">
        <values>
          <value>
            <val>23060</val>
          </value>
        </values>
      </ddeItem>
      <ddeItem name="BIDVOLUME1" advise="1">
        <values>
          <value>
            <val>10</val>
          </value>
        </values>
      </ddeItem>
      <ddeItem name="CLOSEPRICE" advise="1"/>
      <ddeItem name="FEE" advise="1"/>
      <ddeItem name="HIGH" advise="1">
        <values>
          <value>
            <val>23260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23070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22950</val>
          </value>
        </values>
      </ddeItem>
      <ddeItem name="LOWERLIMITPRICE" advise="1">
        <values>
          <value>
            <val>21220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0</val>
          </value>
        </values>
      </ddeItem>
      <ddeItem name="NETCHANGERATE" advise="1">
        <values>
          <value t="str">
            <val>0.00%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23200</val>
          </value>
        </values>
      </ddeItem>
      <ddeItem name="POSIVOL" advise="1">
        <values>
          <value>
            <val>15194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473</val>
          </value>
        </values>
      </ddeItem>
      <ddeItem name="PRECLOSE" advise="1">
        <values>
          <value>
            <val>23120</val>
          </value>
        </values>
      </ddeItem>
      <ddeItem name="PRESETTLEPRICE" advise="1">
        <values>
          <value>
            <val>23070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5418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24915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99230416">
    <ddeItems>
      <ddeItem name="ASKPRICE1" advise="1">
        <values>
          <value>
            <val>18484</val>
          </value>
        </values>
      </ddeItem>
      <ddeItem name="ASKVOLUME1" advise="1">
        <values>
          <value>
            <val>10</val>
          </value>
        </values>
      </ddeItem>
      <ddeItem name="BIDPRICE1" advise="1">
        <values>
          <value>
            <val>18481</val>
          </value>
        </values>
      </ddeItem>
      <ddeItem name="BIDVOLUME1" advise="1">
        <values>
          <value>
            <val>8</val>
          </value>
        </values>
      </ddeItem>
      <ddeItem name="CLOSEPRICE" advise="1"/>
      <ddeItem name="FEE" advise="1"/>
      <ddeItem name="HIGH" advise="1">
        <values>
          <value>
            <val>18651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18484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17850</val>
          </value>
        </values>
      </ddeItem>
      <ddeItem name="LOWERLIMITPRICE" advise="1">
        <values>
          <value>
            <val>15072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-357</val>
          </value>
        </values>
      </ddeItem>
      <ddeItem name="NETCHANGERATE" advise="1">
        <values>
          <value t="str">
            <val>-1.89%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18651</val>
          </value>
        </values>
      </ddeItem>
      <ddeItem name="POSIVOL" advise="1">
        <values>
          <value>
            <val>224679</val>
          </value>
        </values>
      </ddeItem>
      <ddeItem name="POSIVOLCHANGE" advise="1"/>
      <ddeItem name="POSIVOLCHANGEDAILY" advise="1">
        <values>
          <value>
            <val>12274</val>
          </value>
        </values>
      </ddeItem>
      <ddeItem name="PRECLOSE" advise="1">
        <values>
          <value>
            <val>18708</val>
          </value>
        </values>
      </ddeItem>
      <ddeItem name="PRESETTLEPRICE" advise="1">
        <values>
          <value>
            <val>18841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903196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22609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127438882">
    <ddeItems>
      <ddeItem name="ASKPRICE1" advise="1">
        <values>
          <value>
            <val>24535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24525</val>
          </value>
        </values>
      </ddeItem>
      <ddeItem name="BIDVOLUME1" advise="1">
        <values>
          <value>
            <val>8</val>
          </value>
        </values>
      </ddeItem>
      <ddeItem name="CLOSEPRICE" advise="1"/>
      <ddeItem name="FEE" advise="1"/>
      <ddeItem name="HIGH" advise="1">
        <values>
          <value>
            <val>24620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24525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24380</val>
          </value>
        </values>
      </ddeItem>
      <ddeItem name="LOWERLIMITPRICE" advise="1">
        <values>
          <value>
            <val>22005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70</val>
          </value>
        </values>
      </ddeItem>
      <ddeItem name="NETCHANGERATE" advise="1">
        <values>
          <value t="str">
            <val>+0.29%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24615</val>
          </value>
        </values>
      </ddeItem>
      <ddeItem name="POSIVOL" advise="1">
        <values>
          <value>
            <val>264635</val>
          </value>
        </values>
      </ddeItem>
      <ddeItem name="POSIVOLCHANGE" advise="1"/>
      <ddeItem name="POSIVOLCHANGEDAILY" advise="1">
        <values>
          <value>
            <val>12691</val>
          </value>
        </values>
      </ddeItem>
      <ddeItem name="PRECLOSE" advise="1">
        <values>
          <value>
            <val>24530</val>
          </value>
        </values>
      </ddeItem>
      <ddeItem name="PRESETTLEPRICE" advise="1">
        <values>
          <value>
            <val>24455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157437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26900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659205038">
    <ddeItems>
      <ddeItem name="ASKPRICE1" advise="1">
        <values>
          <value>
            <val>2714</val>
          </value>
        </values>
      </ddeItem>
      <ddeItem name="ASKVOLUME1" advise="1">
        <values>
          <value>
            <val>29</val>
          </value>
        </values>
      </ddeItem>
      <ddeItem name="BIDPRICE1" advise="1">
        <values>
          <value>
            <val>2713</val>
          </value>
        </values>
      </ddeItem>
      <ddeItem name="BIDVOLUME1" advise="1">
        <values>
          <value>
            <val>151</val>
          </value>
        </values>
      </ddeItem>
      <ddeItem name="CLOSEPRICE" advise="1"/>
      <ddeItem name="FEE" advise="1"/>
      <ddeItem name="HIGH" advise="1">
        <values>
          <value>
            <val>2731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2713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2706</val>
          </value>
        </values>
      </ddeItem>
      <ddeItem name="LOWERLIMITPRICE" advise="1">
        <values>
          <value>
            <val>2452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-12</val>
          </value>
        </values>
      </ddeItem>
      <ddeItem name="NETCHANGERATE" advise="1">
        <values>
          <value t="str">
            <val>-0.44%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2725</val>
          </value>
        </values>
      </ddeItem>
      <ddeItem name="POSIVOL" advise="1">
        <values>
          <value>
            <val>404520</val>
          </value>
        </values>
      </ddeItem>
      <ddeItem name="POSIVOLCHANGE" advise="1"/>
      <ddeItem name="POSIVOLCHANGEDAILY" advise="1">
        <values>
          <value>
            <val>11085</val>
          </value>
        </values>
      </ddeItem>
      <ddeItem name="PRECLOSE" advise="1">
        <values>
          <value>
            <val>2724</val>
          </value>
        </values>
      </ddeItem>
      <ddeItem name="PRESETTLEPRICE" advise="1">
        <values>
          <value>
            <val>2725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189516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2997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309924788">
    <ddeItems>
      <ddeItem name="ASKPRICE1" advise="1">
        <values>
          <value>
            <val>983.98</val>
          </value>
        </values>
      </ddeItem>
      <ddeItem name="ASKVOLUME1" advise="1">
        <values>
          <value>
            <val>6</val>
          </value>
        </values>
      </ddeItem>
      <ddeItem name="BIDPRICE1" advise="1">
        <values>
          <value>
            <val>983.9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998.74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983.92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830.52</val>
          </value>
        </values>
      </ddeItem>
      <ddeItem name="LOWERLIMITPRICE" advise="1">
        <values>
          <value>
            <val>830.48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-16.680000000000064</val>
          </value>
        </values>
      </ddeItem>
      <ddeItem name="NETCHANGERATE" advise="1">
        <values>
          <value t="str">
            <val>-1.67%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998.74</val>
          </value>
        </values>
      </ddeItem>
      <ddeItem name="POSIVOL" advise="1">
        <values>
          <value>
            <val>99130</val>
          </value>
        </values>
      </ddeItem>
      <ddeItem name="POSIVOLCHANGE" advise="1"/>
      <ddeItem name="POSIVOLCHANGEDAILY" advise="1">
        <values>
          <value>
            <val>-10678</val>
          </value>
        </values>
      </ddeItem>
      <ddeItem name="PRECLOSE" advise="1">
        <values>
          <value>
            <val>999.58</val>
          </value>
        </values>
      </ddeItem>
      <ddeItem name="PRESETTLEPRICE" advise="1">
        <values>
          <value>
            <val>1000.6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216636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1170.7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442179582">
    <ddeItems>
      <ddeItem name="ASKPRICE1" advise="1">
        <values>
          <value>
            <val>3647</val>
          </value>
        </values>
      </ddeItem>
      <ddeItem name="ASKVOLUME1" advise="1">
        <values>
          <value>
            <val>249</val>
          </value>
        </values>
      </ddeItem>
      <ddeItem name="BIDPRICE1" advise="1">
        <values>
          <value>
            <val>3646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3661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3647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3621</val>
          </value>
        </values>
      </ddeItem>
      <ddeItem name="LOWERLIMITPRICE" advise="1">
        <values>
          <value>
            <val>3388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43</val>
          </value>
        </values>
      </ddeItem>
      <ddeItem name="NETCHANGERATE" advise="1">
        <values>
          <value t="str">
            <val>+1.19%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3644</val>
          </value>
        </values>
      </ddeItem>
      <ddeItem name="POSIVOL" advise="1">
        <values>
          <value>
            <val>178207</val>
          </value>
        </values>
      </ddeItem>
      <ddeItem name="POSIVOLCHANGE" advise="1">
        <values>
          <value>
            <val>5</val>
          </value>
        </values>
      </ddeItem>
      <ddeItem name="POSIVOLCHANGEDAILY" advise="1">
        <values>
          <value>
            <val>646</val>
          </value>
        </values>
      </ddeItem>
      <ddeItem name="PRECLOSE" advise="1">
        <values>
          <value>
            <val>3649</val>
          </value>
        </values>
      </ddeItem>
      <ddeItem name="PRESETTLEPRICE" advise="1">
        <values>
          <value>
            <val>3604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210616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3820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760010233">
    <ddeItems>
      <ddeItem name="ASKPRICE1" advise="1">
        <values>
          <value>
            <val>147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143.35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/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146.9</val>
          </value>
        </values>
      </ddeItem>
      <ddeItem name="LONGPOSITION2200107473" advise="1">
        <values>
          <value>
            <val>0</val>
          </value>
        </values>
      </ddeItem>
      <ddeItem name="LOW" advise="1"/>
      <ddeItem name="LOWERLIMITPRICE" advise="1">
        <values>
          <value>
            <val>139.6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/>
      <ddeItem name="NETCHANGERATE" advise="1"/>
      <ddeItem name="NETVOLUME2200107473" advise="1">
        <values>
          <value>
            <val>0</val>
          </value>
        </values>
      </ddeItem>
      <ddeItem name="OPENPRICE" advise="1"/>
      <ddeItem name="POSIVOL" advise="1">
        <values>
          <value>
            <val>45</val>
          </value>
        </values>
      </ddeItem>
      <ddeItem name="POSIVOLCHANGE" advise="1"/>
      <ddeItem name="POSIVOLCHANGEDAILY" advise="1">
        <values>
          <value>
            <val>0</val>
          </value>
        </values>
      </ddeItem>
      <ddeItem name="PRECLOSE" advise="1">
        <values>
          <value>
            <val>146.9</val>
          </value>
        </values>
      </ddeItem>
      <ddeItem name="PRESETTLEPRICE" advise="1">
        <values>
          <value>
            <val>146.9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0</val>
          </value>
        </values>
      </ddeItem>
      <ddeItem name="UPDATETIME" advise="1">
        <values>
          <value t="str">
            <val>22:00:00.000</val>
          </value>
        </values>
      </ddeItem>
      <ddeItem name="UPPERLIMITPRICE" advise="1">
        <values>
          <value>
            <val>154.19999999999999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217343398">
    <ddeItems>
      <ddeItem name="ASKPRICE1" advise="1">
        <values>
          <value>
            <val>91830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91820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92320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91830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91230</val>
          </value>
        </values>
      </ddeItem>
      <ddeItem name="LOWERLIMITPRICE" advise="1">
        <values>
          <value>
            <val>83320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-750</val>
          </value>
        </values>
      </ddeItem>
      <ddeItem name="NETCHANGERATE" advise="1">
        <values>
          <value t="str">
            <val>-0.81%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92280</val>
          </value>
        </values>
      </ddeItem>
      <ddeItem name="POSIVOL" advise="1">
        <values>
          <value>
            <val>9176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51</val>
          </value>
        </values>
      </ddeItem>
      <ddeItem name="PRECLOSE" advise="1">
        <values>
          <value>
            <val>92660</val>
          </value>
        </values>
      </ddeItem>
      <ddeItem name="PRESETTLEPRICE" advise="1">
        <values>
          <value>
            <val>92580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6059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101830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768128007">
    <ddeItems>
      <ddeItem name="ASKPRICE1" advise="1">
        <values>
          <value>
            <val>15480</val>
          </value>
        </values>
      </ddeItem>
      <ddeItem name="ASKVOLUME1" advise="1">
        <values>
          <value>
            <val>3</val>
          </value>
        </values>
      </ddeItem>
      <ddeItem name="BIDPRICE1" advise="1">
        <values>
          <value>
            <val>15475</val>
          </value>
        </values>
      </ddeItem>
      <ddeItem name="BIDVOLUME1" advise="1">
        <values>
          <value>
            <val>6</val>
          </value>
        </values>
      </ddeItem>
      <ddeItem name="CLOSEPRICE" advise="1"/>
      <ddeItem name="FEE" advise="1"/>
      <ddeItem name="HIGH" advise="1">
        <values>
          <value>
            <val>15820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15475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15265</val>
          </value>
        </values>
      </ddeItem>
      <ddeItem name="LOWERLIMITPRICE" advise="1">
        <values>
          <value>
            <val>13860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-280</val>
          </value>
        </values>
      </ddeItem>
      <ddeItem name="NETCHANGERATE" advise="1">
        <values>
          <value t="str">
            <val>-1.78%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15705</val>
          </value>
        </values>
      </ddeItem>
      <ddeItem name="POSIVOL" advise="1">
        <values>
          <value>
            <val>28249</val>
          </value>
        </values>
      </ddeItem>
      <ddeItem name="POSIVOLCHANGE" advise="1"/>
      <ddeItem name="POSIVOLCHANGEDAILY" advise="1">
        <values>
          <value>
            <val>1539</val>
          </value>
        </values>
      </ddeItem>
      <ddeItem name="PRECLOSE" advise="1">
        <values>
          <value>
            <val>15755</val>
          </value>
        </values>
      </ddeItem>
      <ddeItem name="PRESETTLEPRICE" advise="1">
        <values>
          <value>
            <val>15755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184517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17645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953321212">
    <ddeItems>
      <ddeItem name="ASKPRICE1" advise="1">
        <values>
          <value>
            <val>4530</val>
          </value>
        </values>
      </ddeItem>
      <ddeItem name="ASKVOLUME1" advise="1">
        <values>
          <value>
            <val>6</val>
          </value>
        </values>
      </ddeItem>
      <ddeItem name="BIDPRICE1" advise="1">
        <values>
          <value>
            <val>4529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4579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4529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4495</val>
          </value>
        </values>
      </ddeItem>
      <ddeItem name="LOWERLIMITPRICE" advise="1">
        <values>
          <value>
            <val>3924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69</val>
          </value>
        </values>
      </ddeItem>
      <ddeItem name="NETCHANGERATE" advise="1">
        <values>
          <value t="str">
            <val>+1.55%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4513</val>
          </value>
        </values>
      </ddeItem>
      <ddeItem name="POSIVOL" advise="1">
        <values>
          <value>
            <val>139240</val>
          </value>
        </values>
      </ddeItem>
      <ddeItem name="POSIVOLCHANGE" advise="1"/>
      <ddeItem name="POSIVOLCHANGEDAILY" advise="1">
        <values>
          <value>
            <val>-8063</val>
          </value>
        </values>
      </ddeItem>
      <ddeItem name="PRECLOSE" advise="1">
        <values>
          <value>
            <val>4513</val>
          </value>
        </values>
      </ddeItem>
      <ddeItem name="PRESETTLEPRICE" advise="1">
        <values>
          <value>
            <val>4460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316093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4995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520604561">
    <ddeItems>
      <ddeItem name="ASKPRICE1" advise="1">
        <values>
          <value>
            <val>8293</val>
          </value>
        </values>
      </ddeItem>
      <ddeItem name="ASKVOLUME1" advise="1">
        <values>
          <value>
            <val>12</val>
          </value>
        </values>
      </ddeItem>
      <ddeItem name="BIDPRICE1" advise="1">
        <values>
          <value>
            <val>8285</val>
          </value>
        </values>
      </ddeItem>
      <ddeItem name="BIDVOLUME1" advise="1">
        <values>
          <value>
            <val>5</val>
          </value>
        </values>
      </ddeItem>
      <ddeItem name="CLOSEPRICE" advise="1"/>
      <ddeItem name="FEE" advise="1"/>
      <ddeItem name="HIGH" advise="1">
        <values>
          <value>
            <val>8367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8291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8230</val>
          </value>
        </values>
      </ddeItem>
      <ddeItem name="LOWERLIMITPRICE" advise="1">
        <values>
          <value>
            <val>7238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66</val>
          </value>
        </values>
      </ddeItem>
      <ddeItem name="NETCHANGERATE" advise="1">
        <values>
          <value t="str">
            <val>+0.80%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8245</val>
          </value>
        </values>
      </ddeItem>
      <ddeItem name="POSIVOL" advise="1">
        <values>
          <value>
            <val>8355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-583</val>
          </value>
        </values>
      </ddeItem>
      <ddeItem name="PRECLOSE" advise="1">
        <values>
          <value>
            <val>8283</val>
          </value>
        </values>
      </ddeItem>
      <ddeItem name="PRESETTLEPRICE" advise="1">
        <values>
          <value>
            <val>8225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7502</val>
          </value>
        </values>
      </ddeItem>
      <ddeItem name="UPDATETIME" advise="1">
        <values>
          <value t="str">
            <val>22:52:38.500</val>
          </value>
        </values>
      </ddeItem>
      <ddeItem name="UPPERLIMITPRICE" advise="1">
        <values>
          <value>
            <val>9212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53393752">
    <ddeItems>
      <ddeItem name="ASKPRICE1" advise="1">
        <values>
          <value>
            <val>2352</val>
          </value>
        </values>
      </ddeItem>
      <ddeItem name="ASKVOLUME1" advise="1">
        <values>
          <value>
            <val>1746</val>
          </value>
        </values>
      </ddeItem>
      <ddeItem name="BIDPRICE1" advise="1">
        <values>
          <value>
            <val>2351</val>
          </value>
        </values>
      </ddeItem>
      <ddeItem name="BIDVOLUME1" advise="1">
        <values>
          <value>
            <val>6517</val>
          </value>
        </values>
      </ddeItem>
      <ddeItem name="CLOSEPRICE" advise="1"/>
      <ddeItem name="FEE" advise="1"/>
      <ddeItem name="HIGH" advise="1">
        <values>
          <value>
            <val>2371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2352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2351</val>
          </value>
        </values>
      </ddeItem>
      <ddeItem name="LOWERLIMITPRICE" advise="1">
        <values>
          <value>
            <val>2218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-7</val>
          </value>
        </values>
      </ddeItem>
      <ddeItem name="NETCHANGERATE" advise="1">
        <values>
          <value t="str">
            <val>-0.30%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2365</val>
          </value>
        </values>
      </ddeItem>
      <ddeItem name="POSIVOL" advise="1">
        <values>
          <value>
            <val>1173536</val>
          </value>
        </values>
      </ddeItem>
      <ddeItem name="POSIVOLCHANGE" advise="1">
        <values>
          <value>
            <val>-1</val>
          </value>
        </values>
      </ddeItem>
      <ddeItem name="POSIVOLCHANGEDAILY" advise="1">
        <values>
          <value>
            <val>-3800</val>
          </value>
        </values>
      </ddeItem>
      <ddeItem name="PRECLOSE" advise="1">
        <values>
          <value>
            <val>2365</val>
          </value>
        </values>
      </ddeItem>
      <ddeItem name="PRESETTLEPRICE" advise="1">
        <values>
          <value>
            <val>2359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506162</val>
          </value>
        </values>
      </ddeItem>
      <ddeItem name="UPDATETIME" advise="1">
        <values>
          <value t="str">
            <val>22:52:41.000</val>
          </value>
        </values>
      </ddeItem>
      <ddeItem name="UPPERLIMITPRICE" advise="1">
        <values>
          <value>
            <val>2500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562238629">
    <ddeItems>
      <ddeItem name="ASKPRICE1" advise="1">
        <values>
          <value>
            <val>2673</val>
          </value>
        </values>
      </ddeItem>
      <ddeItem name="ASKVOLUME1" advise="1">
        <values>
          <value>
            <val>520</val>
          </value>
        </values>
      </ddeItem>
      <ddeItem name="BIDPRICE1" advise="1">
        <values>
          <value>
            <val>2672</val>
          </value>
        </values>
      </ddeItem>
      <ddeItem name="BIDVOLUME1" advise="1">
        <values>
          <value>
            <val>1159</val>
          </value>
        </values>
      </ddeItem>
      <ddeItem name="CLOSEPRICE" advise="1"/>
      <ddeItem name="FEE" advise="1"/>
      <ddeItem name="HIGH" advise="1">
        <values>
          <value>
            <val>2698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2672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2672</val>
          </value>
        </values>
      </ddeItem>
      <ddeItem name="LOWERLIMITPRICE" advise="1">
        <values>
          <value>
            <val>2551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-13</val>
          </value>
        </values>
      </ddeItem>
      <ddeItem name="NETCHANGERATE" advise="1">
        <values>
          <value t="str">
            <val>-0.48%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2693</val>
          </value>
        </values>
      </ddeItem>
      <ddeItem name="POSIVOL" advise="1">
        <values>
          <value>
            <val>312787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3013</val>
          </value>
        </values>
      </ddeItem>
      <ddeItem name="PRECLOSE" advise="1">
        <values>
          <value>
            <val>2691</val>
          </value>
        </values>
      </ddeItem>
      <ddeItem name="PRESETTLEPRICE" advise="1">
        <values>
          <value>
            <val>2685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122235</val>
          </value>
        </values>
      </ddeItem>
      <ddeItem name="UPDATETIME" advise="1">
        <values>
          <value t="str">
            <val>22:52:39.500</val>
          </value>
        </values>
      </ddeItem>
      <ddeItem name="UPPERLIMITPRICE" advise="1">
        <values>
          <value>
            <val>2819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111998957">
    <ddeItems>
      <ddeItem name="ASKPRICE1" advise="1">
        <values>
          <value>
            <val>104010</val>
          </value>
        </values>
      </ddeItem>
      <ddeItem name="ASKVOLUME1" advise="1">
        <values>
          <value>
            <val>2</val>
          </value>
        </values>
      </ddeItem>
      <ddeItem name="BIDPRICE1" advise="1">
        <values>
          <value>
            <val>103980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104240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103980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103000</val>
          </value>
        </values>
      </ddeItem>
      <ddeItem name="LOWERLIMITPRICE" advise="1">
        <values>
          <value>
            <val>94010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-480</val>
          </value>
        </values>
      </ddeItem>
      <ddeItem name="NETCHANGERATE" advise="1">
        <values>
          <value t="str">
            <val>-0.46%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104090</val>
          </value>
        </values>
      </ddeItem>
      <ddeItem name="POSIVOL" advise="1">
        <values>
          <value>
            <val>151632</val>
          </value>
        </values>
      </ddeItem>
      <ddeItem name="POSIVOLCHANGE" advise="1"/>
      <ddeItem name="POSIVOLCHANGEDAILY" advise="1">
        <values>
          <value>
            <val>26</val>
          </value>
        </values>
      </ddeItem>
      <ddeItem name="PRECLOSE" advise="1">
        <values>
          <value>
            <val>104540</val>
          </value>
        </values>
      </ddeItem>
      <ddeItem name="PRESETTLEPRICE" advise="1">
        <values>
          <value>
            <val>104460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78028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114900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298305198">
    <ddeItems>
      <ddeItem name="ASKPRICE1" advise="1">
        <values>
          <value>
            <val>9382</val>
          </value>
        </values>
      </ddeItem>
      <ddeItem name="ASKVOLUME1" advise="1">
        <values>
          <value>
            <val>44</val>
          </value>
        </values>
      </ddeItem>
      <ddeItem name="BIDPRICE1" advise="1">
        <values>
          <value>
            <val>9381</val>
          </value>
        </values>
      </ddeItem>
      <ddeItem name="BIDVOLUME1" advise="1">
        <values>
          <value>
            <val>29</val>
          </value>
        </values>
      </ddeItem>
      <ddeItem name="CLOSEPRICE" advise="1"/>
      <ddeItem name="FEE" advise="1"/>
      <ddeItem name="HIGH" advise="1">
        <values>
          <value>
            <val>9513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9382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9314</val>
          </value>
        </values>
      </ddeItem>
      <ddeItem name="LOWERLIMITPRICE" advise="1">
        <values>
          <value>
            <val>8277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82</val>
          </value>
        </values>
      </ddeItem>
      <ddeItem name="NETCHANGERATE" advise="1">
        <values>
          <value t="str">
            <val>+0.88%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9359</val>
          </value>
        </values>
      </ddeItem>
      <ddeItem name="POSIVOL" advise="1">
        <values>
          <value>
            <val>351025</val>
          </value>
        </values>
      </ddeItem>
      <ddeItem name="POSIVOLCHANGE" advise="1">
        <values>
          <value>
            <val>-11</val>
          </value>
        </values>
      </ddeItem>
      <ddeItem name="POSIVOLCHANGEDAILY" advise="1">
        <values>
          <value>
            <val>4333</val>
          </value>
        </values>
      </ddeItem>
      <ddeItem name="PRECLOSE" advise="1">
        <values>
          <value>
            <val>9359</val>
          </value>
        </values>
      </ddeItem>
      <ddeItem name="PRESETTLEPRICE" advise="1">
        <values>
          <value>
            <val>9300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377215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10323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775869195">
    <ddeItems>
      <ddeItem name="ASKPRICE1" advise="1">
        <values>
          <value>
            <val>2747</val>
          </value>
        </values>
      </ddeItem>
      <ddeItem name="ASKVOLUME1" advise="1">
        <values>
          <value>
            <val>3</val>
          </value>
        </values>
      </ddeItem>
      <ddeItem name="BIDPRICE1" advise="1">
        <values>
          <value>
            <val>2746.5</val>
          </value>
        </values>
      </ddeItem>
      <ddeItem name="BIDVOLUME1" advise="1">
        <values>
          <value>
            <val>9</val>
          </value>
        </values>
      </ddeItem>
      <ddeItem name="CLOSEPRICE" advise="1"/>
      <ddeItem name="FEE" advise="1"/>
      <ddeItem name="HIGH" advise="1">
        <values>
          <value>
            <val>2788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2747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2662</val>
          </value>
        </values>
      </ddeItem>
      <ddeItem name="LOWERLIMITPRICE" advise="1">
        <values>
          <value>
            <val>2095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128</val>
          </value>
        </values>
      </ddeItem>
      <ddeItem name="NETCHANGERATE" advise="1">
        <values>
          <value t="str">
            <val>+4.89%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2686</val>
          </value>
        </values>
      </ddeItem>
      <ddeItem name="POSIVOL" advise="1">
        <values>
          <value>
            <val>21163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431</val>
          </value>
        </values>
      </ddeItem>
      <ddeItem name="PRECLOSE" advise="1">
        <values>
          <value>
            <val>2637.5</val>
          </value>
        </values>
      </ddeItem>
      <ddeItem name="PRESETTLEPRICE" advise="1">
        <values>
          <value>
            <val>2619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16588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3142.5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418312437">
    <ddeItems>
      <ddeItem name="ASKPRICE1" advise="1">
        <values>
          <value>
            <val>4745</val>
          </value>
        </values>
      </ddeItem>
      <ddeItem name="ASKVOLUME1" advise="1">
        <values>
          <value>
            <val>37</val>
          </value>
        </values>
      </ddeItem>
      <ddeItem name="BIDPRICE1" advise="1">
        <values>
          <value>
            <val>4744</val>
          </value>
        </values>
      </ddeItem>
      <ddeItem name="BIDVOLUME1" advise="1">
        <values>
          <value>
            <val>61</val>
          </value>
        </values>
      </ddeItem>
      <ddeItem name="CLOSEPRICE" advise="1"/>
      <ddeItem name="FEE" advise="1"/>
      <ddeItem name="HIGH" advise="1">
        <values>
          <value>
            <val>4794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4744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4705</val>
          </value>
        </values>
      </ddeItem>
      <ddeItem name="LOWERLIMITPRICE" advise="1">
        <values>
          <value>
            <val>4205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20</val>
          </value>
        </values>
      </ddeItem>
      <ddeItem name="NETCHANGERATE" advise="1">
        <values>
          <value t="str">
            <val>+0.42%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4772</val>
          </value>
        </values>
      </ddeItem>
      <ddeItem name="POSIVOL" advise="1">
        <values>
          <value>
            <val>307417</val>
          </value>
        </values>
      </ddeItem>
      <ddeItem name="POSIVOLCHANGE" advise="1">
        <values>
          <value>
            <val>1</val>
          </value>
        </values>
      </ddeItem>
      <ddeItem name="POSIVOLCHANGEDAILY" advise="1">
        <values>
          <value>
            <val>2026</val>
          </value>
        </values>
      </ddeItem>
      <ddeItem name="PRECLOSE" advise="1">
        <values>
          <value>
            <val>4762</val>
          </value>
        </values>
      </ddeItem>
      <ddeItem name="PRESETTLEPRICE" advise="1">
        <values>
          <value>
            <val>4724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276772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5243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124025064">
    <ddeItems>
      <ddeItem name="ASKPRICE1" advise="1">
        <values>
          <value>
            <val>1261.5</val>
          </value>
        </values>
      </ddeItem>
      <ddeItem name="ASKVOLUME1" advise="1">
        <values>
          <value>
            <val>2</val>
          </value>
        </values>
      </ddeItem>
      <ddeItem name="BIDPRICE1" advise="1">
        <values>
          <value>
            <val>1260.5</val>
          </value>
        </values>
      </ddeItem>
      <ddeItem name="BIDVOLUME1" advise="1">
        <values>
          <value>
            <val>14</val>
          </value>
        </values>
      </ddeItem>
      <ddeItem name="CLOSEPRICE" advise="1"/>
      <ddeItem name="FEE" advise="1"/>
      <ddeItem name="HIGH" advise="1">
        <values>
          <value>
            <val>1268.5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1260.5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1250</val>
          </value>
        </values>
      </ddeItem>
      <ddeItem name="LOWERLIMITPRICE" advise="1">
        <values>
          <value>
            <val>1194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4</val>
          </value>
        </values>
      </ddeItem>
      <ddeItem name="NETCHANGERATE" advise="1">
        <values>
          <value t="str">
            <val>+0.32%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1250</val>
          </value>
        </values>
      </ddeItem>
      <ddeItem name="POSIVOL" advise="1">
        <values>
          <value>
            <val>4981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-137</val>
          </value>
        </values>
      </ddeItem>
      <ddeItem name="PRECLOSE" advise="1">
        <values>
          <value>
            <val>1251</val>
          </value>
        </values>
      </ddeItem>
      <ddeItem name="PRESETTLEPRICE" advise="1">
        <values>
          <value>
            <val>1256.5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1537</val>
          </value>
        </values>
      </ddeItem>
      <ddeItem name="UPDATETIME" advise="1">
        <values>
          <value t="str">
            <val>22:52:22.000</val>
          </value>
        </values>
      </ddeItem>
      <ddeItem name="UPPERLIMITPRICE" advise="1">
        <values>
          <value>
            <val>1319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568448255">
    <ddeItems>
      <ddeItem name="ASKPRICE1" advise="1">
        <values>
          <value>
            <val>4173</val>
          </value>
        </values>
      </ddeItem>
      <ddeItem name="ASKVOLUME1" advise="1">
        <values>
          <value>
            <val>8</val>
          </value>
        </values>
      </ddeItem>
      <ddeItem name="BIDPRICE1" advise="1">
        <values>
          <value>
            <val>4171</val>
          </value>
        </values>
      </ddeItem>
      <ddeItem name="BIDVOLUME1" advise="1">
        <values>
          <value>
            <val>21</val>
          </value>
        </values>
      </ddeItem>
      <ddeItem name="CLOSEPRICE" advise="1"/>
      <ddeItem name="FEE" advise="1"/>
      <ddeItem name="HIGH" advise="1">
        <values>
          <value>
            <val>4305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4173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4171</val>
          </value>
        </values>
      </ddeItem>
      <ddeItem name="LOWERLIMITPRICE" advise="1">
        <values>
          <value>
            <val>3328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13</val>
          </value>
        </values>
      </ddeItem>
      <ddeItem name="NETCHANGERATE" advise="1">
        <values>
          <value t="str">
            <val>+0.31%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4260</val>
          </value>
        </values>
      </ddeItem>
      <ddeItem name="POSIVOL" advise="1">
        <values>
          <value>
            <val>243440</val>
          </value>
        </values>
      </ddeItem>
      <ddeItem name="POSIVOLCHANGE" advise="1"/>
      <ddeItem name="POSIVOLCHANGEDAILY" advise="1">
        <values>
          <value>
            <val>15793</val>
          </value>
        </values>
      </ddeItem>
      <ddeItem name="PRECLOSE" advise="1">
        <values>
          <value>
            <val>4205</val>
          </value>
        </values>
      </ddeItem>
      <ddeItem name="PRESETTLEPRICE" advise="1">
        <values>
          <value>
            <val>4160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254400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4992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028947854">
    <ddeItems>
      <ddeItem name="ASKPRICE1" advise="1">
        <values>
          <value>
            <val>3419</val>
          </value>
        </values>
      </ddeItem>
      <ddeItem name="ASKVOLUME1" advise="1">
        <values>
          <value>
            <val>938</val>
          </value>
        </values>
      </ddeItem>
      <ddeItem name="BIDPRICE1" advise="1">
        <values>
          <value>
            <val>3417</val>
          </value>
        </values>
      </ddeItem>
      <ddeItem name="BIDVOLUME1" advise="1">
        <values>
          <value>
            <val>278</val>
          </value>
        </values>
      </ddeItem>
      <ddeItem name="CLOSEPRICE" advise="1"/>
      <ddeItem name="FEE" advise="1"/>
      <ddeItem name="HIGH" advise="1">
        <values>
          <value>
            <val>3432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3418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3401</val>
          </value>
        </values>
      </ddeItem>
      <ddeItem name="LOWERLIMITPRICE" advise="1">
        <values>
          <value>
            <val>3248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-1</val>
          </value>
        </values>
      </ddeItem>
      <ddeItem name="NETCHANGERATE" advise="1">
        <values>
          <value t="str">
            <val>-0.03%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3431</val>
          </value>
        </values>
      </ddeItem>
      <ddeItem name="POSIVOL" advise="1">
        <values>
          <value>
            <val>1891371</val>
          </value>
        </values>
      </ddeItem>
      <ddeItem name="POSIVOLCHANGE" advise="1"/>
      <ddeItem name="POSIVOLCHANGEDAILY" advise="1">
        <values>
          <value>
            <val>-49632</val>
          </value>
        </values>
      </ddeItem>
      <ddeItem name="PRECLOSE" advise="1">
        <values>
          <value>
            <val>3428</val>
          </value>
        </values>
      </ddeItem>
      <ddeItem name="PRESETTLEPRICE" advise="1">
        <values>
          <value>
            <val>3419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401595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3589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549811385">
    <ddeItems>
      <ddeItem name="ASKPRICE1" advise="1">
        <values>
          <value>
            <val>798</val>
          </value>
        </values>
      </ddeItem>
      <ddeItem name="ASKVOLUME1" advise="1">
        <values>
          <value>
            <val>844</val>
          </value>
        </values>
      </ddeItem>
      <ddeItem name="BIDPRICE1" advise="1">
        <values>
          <value>
            <val>797.5</val>
          </value>
        </values>
      </ddeItem>
      <ddeItem name="BIDVOLUME1" advise="1">
        <values>
          <value>
            <val>464</val>
          </value>
        </values>
      </ddeItem>
      <ddeItem name="CLOSEPRICE" advise="1"/>
      <ddeItem name="FEE" advise="1"/>
      <ddeItem name="HIGH" advise="1">
        <values>
          <value>
            <val>801.5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797.5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793</val>
          </value>
        </values>
      </ddeItem>
      <ddeItem name="LOWERLIMITPRICE" advise="1">
        <values>
          <value>
            <val>727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-1</val>
          </value>
        </values>
      </ddeItem>
      <ddeItem name="NETCHANGERATE" advise="1">
        <values>
          <value t="str">
            <val>-0.13%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800</val>
          </value>
        </values>
      </ddeItem>
      <ddeItem name="POSIVOL" advise="1">
        <values>
          <value>
            <val>652965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-6460</val>
          </value>
        </values>
      </ddeItem>
      <ddeItem name="PRECLOSE" advise="1">
        <values>
          <value>
            <val>798.5</val>
          </value>
        </values>
      </ddeItem>
      <ddeItem name="PRESETTLEPRICE" advise="1">
        <values>
          <value>
            <val>798.5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150106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870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68380562">
    <ddeItems>
      <ddeItem name="ASKPRICE1" advise="1">
        <values>
          <value>
            <val>1780</val>
          </value>
        </values>
      </ddeItem>
      <ddeItem name="ASKVOLUME1" advise="1">
        <values>
          <value>
            <val>2</val>
          </value>
        </values>
      </ddeItem>
      <ddeItem name="BIDPRICE1" advise="1">
        <values>
          <value>
            <val>1779.5</val>
          </value>
        </values>
      </ddeItem>
      <ddeItem name="BIDVOLUME1" advise="1">
        <values>
          <value>
            <val>5</val>
          </value>
        </values>
      </ddeItem>
      <ddeItem name="CLOSEPRICE" advise="1"/>
      <ddeItem name="FEE" advise="1"/>
      <ddeItem name="HIGH" advise="1">
        <values>
          <value>
            <val>1787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1780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1758</val>
          </value>
        </values>
      </ddeItem>
      <ddeItem name="LOWERLIMITPRICE" advise="1">
        <values>
          <value>
            <val>1635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3</val>
          </value>
        </values>
      </ddeItem>
      <ddeItem name="NETCHANGERATE" advise="1">
        <values>
          <value t="str">
            <val>+0.17%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1777</val>
          </value>
        </values>
      </ddeItem>
      <ddeItem name="POSIVOL" advise="1">
        <values>
          <value>
            <val>32540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532</val>
          </value>
        </values>
      </ddeItem>
      <ddeItem name="PRECLOSE" advise="1">
        <values>
          <value>
            <val>1782</val>
          </value>
        </values>
      </ddeItem>
      <ddeItem name="PRESETTLEPRICE" advise="1">
        <values>
          <value>
            <val>1777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11420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1919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642183893">
    <ddeItems>
      <ddeItem name="ASKPRICE1" advise="1">
        <values>
          <value>
            <val>3924</val>
          </value>
        </values>
      </ddeItem>
      <ddeItem name="ASKVOLUME1" advise="1">
        <values>
          <value>
            <val>201</val>
          </value>
        </values>
      </ddeItem>
      <ddeItem name="BIDPRICE1" advise="1">
        <values>
          <value>
            <val>3923</val>
          </value>
        </values>
      </ddeItem>
      <ddeItem name="BIDVOLUME1" advise="1">
        <values>
          <value>
            <val>95</val>
          </value>
        </values>
      </ddeItem>
      <ddeItem name="CLOSEPRICE" advise="1"/>
      <ddeItem name="FEE" advise="1"/>
      <ddeItem name="HIGH" advise="1">
        <values>
          <value>
            <val>3940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3923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3802</val>
          </value>
        </values>
      </ddeItem>
      <ddeItem name="LOWERLIMITPRICE" advise="1">
        <values>
          <value>
            <val>3581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114</val>
          </value>
        </values>
      </ddeItem>
      <ddeItem name="NETCHANGERATE" advise="1">
        <values>
          <value t="str">
            <val>+2.99%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3807</val>
          </value>
        </values>
      </ddeItem>
      <ddeItem name="POSIVOL" advise="1">
        <values>
          <value>
            <val>314363</val>
          </value>
        </values>
      </ddeItem>
      <ddeItem name="POSIVOLCHANGE" advise="1">
        <values>
          <value>
            <val>1</val>
          </value>
        </values>
      </ddeItem>
      <ddeItem name="POSIVOLCHANGEDAILY" advise="1">
        <values>
          <value>
            <val>51016</val>
          </value>
        </values>
      </ddeItem>
      <ddeItem name="PRECLOSE" advise="1">
        <values>
          <value>
            <val>3791</val>
          </value>
        </values>
      </ddeItem>
      <ddeItem name="PRESETTLEPRICE" advise="1">
        <values>
          <value>
            <val>3809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708852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4037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122661545">
    <ddeItems>
      <ddeItem name="ASKPRICE1" advise="1">
        <values>
          <value>
            <val>1216.5</val>
          </value>
        </values>
      </ddeItem>
      <ddeItem name="ASKVOLUME1" advise="1">
        <values>
          <value>
            <val>88</val>
          </value>
        </values>
      </ddeItem>
      <ddeItem name="BIDPRICE1" advise="1">
        <values>
          <value>
            <val>1216</val>
          </value>
        </values>
      </ddeItem>
      <ddeItem name="BIDVOLUME1" advise="1">
        <values>
          <value>
            <val>161</val>
          </value>
        </values>
      </ddeItem>
      <ddeItem name="CLOSEPRICE" advise="1"/>
      <ddeItem name="FEE" advise="1"/>
      <ddeItem name="HIGH" advise="1">
        <values>
          <value>
            <val>1223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1216.5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1196.5</val>
          </value>
        </values>
      </ddeItem>
      <ddeItem name="LOWERLIMITPRICE" advise="1">
        <values>
          <value>
            <val>1117.5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2</val>
          </value>
        </values>
      </ddeItem>
      <ddeItem name="NETCHANGERATE" advise="1">
        <values>
          <value t="str">
            <val>+0.16%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1221</val>
          </value>
        </values>
      </ddeItem>
      <ddeItem name="POSIVOL" advise="1">
        <values>
          <value>
            <val>488393</val>
          </value>
        </values>
      </ddeItem>
      <ddeItem name="POSIVOLCHANGE" advise="1">
        <values>
          <value>
            <val>1</val>
          </value>
        </values>
      </ddeItem>
      <ddeItem name="POSIVOLCHANGEDAILY" advise="1">
        <values>
          <value>
            <val>16441</val>
          </value>
        </values>
      </ddeItem>
      <ddeItem name="PRECLOSE" advise="1">
        <values>
          <value>
            <val>1221</val>
          </value>
        </values>
      </ddeItem>
      <ddeItem name="PRESETTLEPRICE" advise="1">
        <values>
          <value>
            <val>1214.5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527264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1311.5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465885054">
    <ddeItems>
      <ddeItem name="ASKPRICE1" advise="1">
        <values>
          <value>
            <val>8120</val>
          </value>
        </values>
      </ddeItem>
      <ddeItem name="ASKVOLUME1" advise="1">
        <values>
          <value>
            <val>58</val>
          </value>
        </values>
      </ddeItem>
      <ddeItem name="BIDPRICE1" advise="1">
        <values>
          <value>
            <val>8119</val>
          </value>
        </values>
      </ddeItem>
      <ddeItem name="BIDVOLUME1" advise="1">
        <values>
          <value>
            <val>150</val>
          </value>
        </values>
      </ddeItem>
      <ddeItem name="CLOSEPRICE" advise="1"/>
      <ddeItem name="FEE" advise="1"/>
      <ddeItem name="HIGH" advise="1">
        <values>
          <value>
            <val>8210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8120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8054</val>
          </value>
        </values>
      </ddeItem>
      <ddeItem name="LOWERLIMITPRICE" advise="1">
        <values>
          <value>
            <val>7304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94</val>
          </value>
        </values>
      </ddeItem>
      <ddeItem name="NETCHANGERATE" advise="1">
        <values>
          <value t="str">
            <val>+1.17%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8070</val>
          </value>
        </values>
      </ddeItem>
      <ddeItem name="POSIVOL" advise="1">
        <values>
          <value>
            <val>383159</val>
          </value>
        </values>
      </ddeItem>
      <ddeItem name="POSIVOLCHANGE" advise="1">
        <values>
          <value>
            <val>1</val>
          </value>
        </values>
      </ddeItem>
      <ddeItem name="POSIVOLCHANGEDAILY" advise="1">
        <values>
          <value>
            <val>-8737</val>
          </value>
        </values>
      </ddeItem>
      <ddeItem name="PRECLOSE" advise="1">
        <values>
          <value>
            <val>8051</val>
          </value>
        </values>
      </ddeItem>
      <ddeItem name="PRESETTLEPRICE" advise="1">
        <values>
          <value>
            <val>8026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600021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8748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503121502">
    <ddeItems>
      <ddeItem name="ASKPRICE1" advise="1">
        <values>
          <value>
            <val>183420</val>
          </value>
        </values>
      </ddeItem>
      <ddeItem name="ASKVOLUME1" advise="1">
        <values>
          <value>
            <val>72</val>
          </value>
        </values>
      </ddeItem>
      <ddeItem name="BIDPRICE1" advise="1">
        <values>
          <value>
            <val>183360</val>
          </value>
        </values>
      </ddeItem>
      <ddeItem name="BIDVOLUME1" advise="1">
        <values>
          <value>
            <val>31</val>
          </value>
        </values>
      </ddeItem>
      <ddeItem name="CLOSEPRICE" advise="1"/>
      <ddeItem name="FEE" advise="1"/>
      <ddeItem name="HIGH" advise="1">
        <values>
          <value>
            <val>183420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183360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175200</val>
          </value>
        </values>
      </ddeItem>
      <ddeItem name="LOWERLIMITPRICE" advise="1">
        <values>
          <value>
            <val>161420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-2160</val>
          </value>
        </values>
      </ddeItem>
      <ddeItem name="NETCHANGERATE" advise="1">
        <values>
          <value t="str">
            <val>-1.16%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182120</val>
          </value>
        </values>
      </ddeItem>
      <ddeItem name="POSIVOL" advise="1">
        <values>
          <value>
            <val>448788</val>
          </value>
        </values>
      </ddeItem>
      <ddeItem name="POSIVOLCHANGE" advise="1">
        <values>
          <value>
            <val>-3</val>
          </value>
        </values>
      </ddeItem>
      <ddeItem name="POSIVOLCHANGEDAILY" advise="1">
        <values>
          <value>
            <val>2364</val>
          </value>
        </values>
      </ddeItem>
      <ddeItem name="PRECLOSE" advise="1">
        <values>
          <value>
            <val>184400</val>
          </value>
        </values>
      </ddeItem>
      <ddeItem name="PRESETTLEPRICE" advise="1">
        <values>
          <value>
            <val>185520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350033</val>
          </value>
        </values>
      </ddeItem>
      <ddeItem name="UPDATETIME" advise="1">
        <values>
          <value t="str">
            <val>22:52:40.000</val>
          </value>
        </values>
      </ddeItem>
      <ddeItem name="UPPERLIMITPRICE" advise="1">
        <values>
          <value>
            <val>209620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497915455">
    <ddeItems>
      <ddeItem name="ASKPRICE1" advise="1">
        <values>
          <value>
            <val>813.5</val>
          </value>
        </values>
      </ddeItem>
      <ddeItem name="ASKVOLUME1" advise="1">
        <values>
          <value>
            <val>22</val>
          </value>
        </values>
      </ddeItem>
      <ddeItem name="BIDPRICE1" advise="1">
        <values>
          <value>
            <val>813</val>
          </value>
        </values>
      </ddeItem>
      <ddeItem name="BIDVOLUME1" advise="1">
        <values>
          <value>
            <val>22</val>
          </value>
        </values>
      </ddeItem>
      <ddeItem name="CLOSEPRICE" advise="1"/>
      <ddeItem name="FEE" advise="1"/>
      <ddeItem name="HIGH" advise="1">
        <values>
          <value>
            <val>814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813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809.5</val>
          </value>
        </values>
      </ddeItem>
      <ddeItem name="LOWERLIMITPRICE" advise="1">
        <values>
          <value>
            <val>767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-2.5</val>
          </value>
        </values>
      </ddeItem>
      <ddeItem name="NETCHANGERATE" advise="1">
        <values>
          <value t="str">
            <val>-0.31%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810.5</val>
          </value>
        </values>
      </ddeItem>
      <ddeItem name="POSIVOL" advise="1">
        <values>
          <value>
            <val>11849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65</val>
          </value>
        </values>
      </ddeItem>
      <ddeItem name="PRECLOSE" advise="1">
        <values>
          <value>
            <val>812.5</val>
          </value>
        </values>
      </ddeItem>
      <ddeItem name="PRESETTLEPRICE" advise="1">
        <values>
          <value>
            <val>815.5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3065</val>
          </value>
        </values>
      </ddeItem>
      <ddeItem name="UPDATETIME" advise="1">
        <values>
          <value t="str">
            <val>22:52:39.500</val>
          </value>
        </values>
      </ddeItem>
      <ddeItem name="UPPERLIMITPRICE" advise="1">
        <values>
          <value>
            <val>864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281429959">
    <ddeItems>
      <ddeItem name="ASKPRICE1" advise="1">
        <values>
          <value>
            <val>10815</val>
          </value>
        </values>
      </ddeItem>
      <ddeItem name="ASKVOLUME1" advise="1">
        <values>
          <value>
            <val>230</val>
          </value>
        </values>
      </ddeItem>
      <ddeItem name="BIDPRICE1" advise="1">
        <values>
          <value>
            <val>10810</val>
          </value>
        </values>
      </ddeItem>
      <ddeItem name="BIDVOLUME1" advise="1">
        <values>
          <value>
            <val>80</val>
          </value>
        </values>
      </ddeItem>
      <ddeItem name="CLOSEPRICE" advise="1"/>
      <ddeItem name="FEE" advise="1"/>
      <ddeItem name="HIGH" advise="1">
        <values>
          <value>
            <val>10825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10810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10720</val>
          </value>
        </values>
      </ddeItem>
      <ddeItem name="LOWERLIMITPRICE" advise="1">
        <values>
          <value>
            <val>10170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-5</val>
          </value>
        </values>
      </ddeItem>
      <ddeItem name="NETCHANGERATE" advise="1">
        <values>
          <value t="str">
            <val>-0.05%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10780</val>
          </value>
        </values>
      </ddeItem>
      <ddeItem name="POSIVOL" advise="1">
        <values>
          <value>
            <val>169609</val>
          </value>
        </values>
      </ddeItem>
      <ddeItem name="POSIVOLCHANGE" advise="1">
        <values>
          <value>
            <val>-1</val>
          </value>
        </values>
      </ddeItem>
      <ddeItem name="POSIVOLCHANGEDAILY" advise="1">
        <values>
          <value>
            <val>-4287</val>
          </value>
        </values>
      </ddeItem>
      <ddeItem name="PRECLOSE" advise="1">
        <values>
          <value>
            <val>10795</val>
          </value>
        </values>
      </ddeItem>
      <ddeItem name="PRESETTLEPRICE" advise="1">
        <values>
          <value>
            <val>10815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83815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11460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981810730">
    <ddeItems>
      <ddeItem name="ASKPRICE1" advise="1">
        <values>
          <value>
            <val>5157</val>
          </value>
        </values>
      </ddeItem>
      <ddeItem name="ASKVOLUME1" advise="1">
        <values>
          <value>
            <val>6</val>
          </value>
        </values>
      </ddeItem>
      <ddeItem name="BIDPRICE1" advise="1">
        <values>
          <value>
            <val>5156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5305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5156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5150</val>
          </value>
        </values>
      </ddeItem>
      <ddeItem name="LOWERLIMITPRICE" advise="1">
        <values>
          <value>
            <val>4125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-1</val>
          </value>
        </values>
      </ddeItem>
      <ddeItem name="NETCHANGERATE" advise="1">
        <values>
          <value t="str">
            <val>-0.02%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5227</val>
          </value>
        </values>
      </ddeItem>
      <ddeItem name="POSIVOL" advise="1">
        <values>
          <value>
            <val>68550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-1034</val>
          </value>
        </values>
      </ddeItem>
      <ddeItem name="PRECLOSE" advise="1">
        <values>
          <value>
            <val>5232</val>
          </value>
        </values>
      </ddeItem>
      <ddeItem name="PRESETTLEPRICE" advise="1">
        <values>
          <value>
            <val>5157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42904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6188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506745807">
    <ddeItems>
      <ddeItem name="ASKPRICE1" advise="1">
        <values>
          <value>
            <val>3026</val>
          </value>
        </values>
      </ddeItem>
      <ddeItem name="ASKVOLUME1" advise="1">
        <values>
          <value>
            <val>724</val>
          </value>
        </values>
      </ddeItem>
      <ddeItem name="BIDPRICE1" advise="1">
        <values>
          <value>
            <val>3025</val>
          </value>
        </values>
      </ddeItem>
      <ddeItem name="BIDVOLUME1" advise="1">
        <values>
          <value>
            <val>2148</val>
          </value>
        </values>
      </ddeItem>
      <ddeItem name="CLOSEPRICE" advise="1"/>
      <ddeItem name="FEE" advise="1"/>
      <ddeItem name="HIGH" advise="1">
        <values>
          <value>
            <val>3050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3025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3020</val>
          </value>
        </values>
      </ddeItem>
      <ddeItem name="LOWERLIMITPRICE" advise="1">
        <values>
          <value>
            <val>2836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8</val>
          </value>
        </values>
      </ddeItem>
      <ddeItem name="NETCHANGERATE" advise="1">
        <values>
          <value t="str">
            <val>+0.27%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3036</val>
          </value>
        </values>
      </ddeItem>
      <ddeItem name="POSIVOL" advise="1">
        <values>
          <value>
            <val>2552466</val>
          </value>
        </values>
      </ddeItem>
      <ddeItem name="POSIVOLCHANGE" advise="1">
        <values>
          <value>
            <val>-6</val>
          </value>
        </values>
      </ddeItem>
      <ddeItem name="POSIVOLCHANGEDAILY" advise="1">
        <values>
          <value>
            <val>5468</val>
          </value>
        </values>
      </ddeItem>
      <ddeItem name="PRECLOSE" advise="1">
        <values>
          <value>
            <val>3038</val>
          </value>
        </values>
      </ddeItem>
      <ddeItem name="PRESETTLEPRICE" advise="1">
        <values>
          <value>
            <val>3017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1005606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3198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709057923">
    <ddeItems>
      <ddeItem name="ASKPRICE1" advise="1">
        <values>
          <value>
            <val>145390</val>
          </value>
        </values>
      </ddeItem>
      <ddeItem name="ASKVOLUME1" advise="1">
        <values>
          <value>
            <val>6</val>
          </value>
        </values>
      </ddeItem>
      <ddeItem name="BIDPRICE1" advise="1">
        <values>
          <value>
            <val>145370</val>
          </value>
        </values>
      </ddeItem>
      <ddeItem name="BIDVOLUME1" advise="1">
        <values>
          <value>
            <val>7</val>
          </value>
        </values>
      </ddeItem>
      <ddeItem name="CLOSEPRICE" advise="1"/>
      <ddeItem name="FEE" advise="1"/>
      <ddeItem name="HIGH" advise="1">
        <values>
          <value>
            <val>146770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145390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142320</val>
          </value>
        </values>
      </ddeItem>
      <ddeItem name="LOWERLIMITPRICE" advise="1">
        <values>
          <value>
            <val>125580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2680</val>
          </value>
        </values>
      </ddeItem>
      <ddeItem name="NETCHANGERATE" advise="1">
        <values>
          <value t="str">
            <val>+1.88%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146000</val>
          </value>
        </values>
      </ddeItem>
      <ddeItem name="POSIVOL" advise="1">
        <values>
          <value>
            <val>108165</val>
          </value>
        </values>
      </ddeItem>
      <ddeItem name="POSIVOLCHANGE" advise="1"/>
      <ddeItem name="POSIVOLCHANGEDAILY" advise="1">
        <values>
          <value>
            <val>-11863</val>
          </value>
        </values>
      </ddeItem>
      <ddeItem name="PRECLOSE" advise="1">
        <values>
          <value>
            <val>144990</val>
          </value>
        </values>
      </ddeItem>
      <ddeItem name="PRESETTLEPRICE" advise="1">
        <values>
          <value>
            <val>142710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382043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159830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161031616">
    <ddeItems>
      <ddeItem name="ASKPRICE1" advise="1">
        <values>
          <value>
            <val>14875</val>
          </value>
        </values>
      </ddeItem>
      <ddeItem name="ASKVOLUME1" advise="1">
        <values>
          <value>
            <val>7</val>
          </value>
        </values>
      </ddeItem>
      <ddeItem name="BIDPRICE1" advise="1">
        <values>
          <value>
            <val>14870</val>
          </value>
        </values>
      </ddeItem>
      <ddeItem name="BIDVOLUME1" advise="1">
        <values>
          <value>
            <val>38</val>
          </value>
        </values>
      </ddeItem>
      <ddeItem name="CLOSEPRICE" advise="1"/>
      <ddeItem name="FEE" advise="1"/>
      <ddeItem name="HIGH" advise="1">
        <values>
          <value>
            <val>15070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14875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14605</val>
          </value>
        </values>
      </ddeItem>
      <ddeItem name="LOWERLIMITPRICE" advise="1">
        <values>
          <value>
            <val>13590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-60</val>
          </value>
        </values>
      </ddeItem>
      <ddeItem name="NETCHANGERATE" advise="1">
        <values>
          <value t="str">
            <val>-0.40%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15030</val>
          </value>
        </values>
      </ddeItem>
      <ddeItem name="POSIVOL" advise="1">
        <values>
          <value>
            <val>72484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-2743</val>
          </value>
        </values>
      </ddeItem>
      <ddeItem name="PRECLOSE" advise="1">
        <values>
          <value>
            <val>15010</val>
          </value>
        </values>
      </ddeItem>
      <ddeItem name="PRESETTLEPRICE" advise="1">
        <values>
          <value>
            <val>14935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90693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16275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477117474">
    <ddeItems>
      <ddeItem name="ASKPRICE1" advise="1">
        <values>
          <value>
            <val>4010</val>
          </value>
        </values>
      </ddeItem>
      <ddeItem name="ASKVOLUME1" advise="1">
        <values>
          <value>
            <val>2</val>
          </value>
        </values>
      </ddeItem>
      <ddeItem name="BIDPRICE1" advise="1">
        <values>
          <value>
            <val>4004</val>
          </value>
        </values>
      </ddeItem>
      <ddeItem name="BIDVOLUME1" advise="1">
        <values>
          <value>
            <val>34</val>
          </value>
        </values>
      </ddeItem>
      <ddeItem name="CLOSEPRICE" advise="1"/>
      <ddeItem name="FEE" advise="1"/>
      <ddeItem name="HIGH" advise="1">
        <values>
          <value>
            <val>4026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4004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4004</val>
          </value>
        </values>
      </ddeItem>
      <ddeItem name="LOWERLIMITPRICE" advise="1">
        <values>
          <value>
            <val>3736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-14</val>
          </value>
        </values>
      </ddeItem>
      <ddeItem name="NETCHANGERATE" advise="1">
        <values>
          <value t="str">
            <val>-0.35%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4014</val>
          </value>
        </values>
      </ddeItem>
      <ddeItem name="POSIVOL" advise="1">
        <values>
          <value>
            <val>12742</val>
          </value>
        </values>
      </ddeItem>
      <ddeItem name="POSIVOLCHANGE" advise="1"/>
      <ddeItem name="POSIVOLCHANGEDAILY" advise="1">
        <values>
          <value>
            <val>141</val>
          </value>
        </values>
      </ddeItem>
      <ddeItem name="PRECLOSE" advise="1">
        <values>
          <value>
            <val>4024</val>
          </value>
        </values>
      </ddeItem>
      <ddeItem name="PRESETTLEPRICE" advise="1">
        <values>
          <value>
            <val>4018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1764</val>
          </value>
        </values>
      </ddeItem>
      <ddeItem name="UPDATETIME" advise="1">
        <values>
          <value t="str">
            <val>22:00:46.000</val>
          </value>
        </values>
      </ddeItem>
      <ddeItem name="UPPERLIMITPRICE" advise="1">
        <values>
          <value>
            <val>4298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454970140">
    <ddeItems>
      <ddeItem name="ASKPRICE1" advise="1">
        <values>
          <value>
            <val>9800</val>
          </value>
        </values>
      </ddeItem>
      <ddeItem name="ASKVOLUME1" advise="1">
        <values>
          <value>
            <val>39</val>
          </value>
        </values>
      </ddeItem>
      <ddeItem name="BIDPRICE1" advise="1">
        <values>
          <value>
            <val>9799</val>
          </value>
        </values>
      </ddeItem>
      <ddeItem name="BIDVOLUME1" advise="1">
        <values>
          <value>
            <val>18</val>
          </value>
        </values>
      </ddeItem>
      <ddeItem name="CLOSEPRICE" advise="1"/>
      <ddeItem name="FEE" advise="1"/>
      <ddeItem name="HIGH" advise="1">
        <values>
          <value>
            <val>9858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9800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9584</val>
          </value>
        </values>
      </ddeItem>
      <ddeItem name="LOWERLIMITPRICE" advise="1">
        <values>
          <value>
            <val>8913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217</val>
          </value>
        </values>
      </ddeItem>
      <ddeItem name="NETCHANGERATE" advise="1">
        <values>
          <value t="str">
            <val>+2.26%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9670</val>
          </value>
        </values>
      </ddeItem>
      <ddeItem name="POSIVOL" advise="1">
        <values>
          <value>
            <val>489746</val>
          </value>
        </values>
      </ddeItem>
      <ddeItem name="POSIVOLCHANGE" advise="1">
        <values>
          <value>
            <val>-1</val>
          </value>
        </values>
      </ddeItem>
      <ddeItem name="POSIVOLCHANGEDAILY" advise="1">
        <values>
          <value>
            <val>-14576</val>
          </value>
        </values>
      </ddeItem>
      <ddeItem name="PRECLOSE" advise="1">
        <values>
          <value>
            <val>9672</val>
          </value>
        </values>
      </ddeItem>
      <ddeItem name="PRESETTLEPRICE" advise="1">
        <values>
          <value>
            <val>9583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695322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10253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812330602">
    <ddeItems>
      <ddeItem name="ASKPRICE1" advise="1">
        <values>
          <value>
            <val>16545</val>
          </value>
        </values>
      </ddeItem>
      <ddeItem name="ASKVOLUME1" advise="1">
        <values>
          <value>
            <val>53</val>
          </value>
        </values>
      </ddeItem>
      <ddeItem name="BIDPRICE1" advise="1">
        <values>
          <value>
            <val>16540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16555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16540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16400</val>
          </value>
        </values>
      </ddeItem>
      <ddeItem name="LOWERLIMITPRICE" advise="1">
        <values>
          <value>
            <val>14850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40</val>
          </value>
        </values>
      </ddeItem>
      <ddeItem name="NETCHANGERATE" advise="1">
        <values>
          <value t="str">
            <val>+0.24%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16490</val>
          </value>
        </values>
      </ddeItem>
      <ddeItem name="POSIVOL" advise="1">
        <values>
          <value>
            <val>75560</val>
          </value>
        </values>
      </ddeItem>
      <ddeItem name="POSIVOLCHANGE" advise="1"/>
      <ddeItem name="POSIVOLCHANGEDAILY" advise="1">
        <values>
          <value>
            <val>11719</val>
          </value>
        </values>
      </ddeItem>
      <ddeItem name="PRECLOSE" advise="1">
        <values>
          <value>
            <val>16515</val>
          </value>
        </values>
      </ddeItem>
      <ddeItem name="PRESETTLEPRICE" advise="1">
        <values>
          <value>
            <val>16500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49582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18150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611607520">
    <ddeItems>
      <ddeItem name="ASKPRICE1" advise="1">
        <values>
          <value>
            <val>331.9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331.65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333.5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331.6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327.64999999999998</val>
          </value>
        </values>
      </ddeItem>
      <ddeItem name="LOWERLIMITPRICE" advise="1">
        <values>
          <value>
            <val>282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-8.0999999999999659</val>
          </value>
        </values>
      </ddeItem>
      <ddeItem name="NETCHANGERATE" advise="1">
        <values>
          <value t="str">
            <val>-2.38%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331.8</val>
          </value>
        </values>
      </ddeItem>
      <ddeItem name="POSIVOL" advise="1">
        <values>
          <value>
            <val>5724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-194</val>
          </value>
        </values>
      </ddeItem>
      <ddeItem name="PRECLOSE" advise="1">
        <values>
          <value>
            <val>338.8</val>
          </value>
        </values>
      </ddeItem>
      <ddeItem name="PRESETTLEPRICE" advise="1">
        <values>
          <value>
            <val>339.7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2773</val>
          </value>
        </values>
      </ddeItem>
      <ddeItem name="UPDATETIME" advise="1">
        <values>
          <value t="str">
            <val>22:52:31.500</val>
          </value>
        </values>
      </ddeItem>
      <ddeItem name="UPPERLIMITPRICE" advise="1">
        <values>
          <value>
            <val>397.4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96066811">
    <ddeItems>
      <ddeItem name="ASKPRICE1" advise="1">
        <values>
          <value>
            <val>6120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6119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6271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6119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6113</val>
          </value>
        </values>
      </ddeItem>
      <ddeItem name="LOWERLIMITPRICE" advise="1">
        <values>
          <value>
            <val>5269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-7</val>
          </value>
        </values>
      </ddeItem>
      <ddeItem name="NETCHANGERATE" advise="1">
        <values>
          <value t="str">
            <val>-0.11%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6176</val>
          </value>
        </values>
      </ddeItem>
      <ddeItem name="POSIVOL" advise="1">
        <values>
          <value>
            <val>104973</val>
          </value>
        </values>
      </ddeItem>
      <ddeItem name="POSIVOLCHANGE" advise="1">
        <values>
          <value>
            <val>1</val>
          </value>
        </values>
      </ddeItem>
      <ddeItem name="POSIVOLCHANGEDAILY" advise="1">
        <values>
          <value>
            <val>2754</val>
          </value>
        </values>
      </ddeItem>
      <ddeItem name="PRECLOSE" advise="1">
        <values>
          <value>
            <val>6178</val>
          </value>
        </values>
      </ddeItem>
      <ddeItem name="PRESETTLEPRICE" advise="1">
        <values>
          <value>
            <val>6126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89409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6983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147892906">
    <ddeItems>
      <ddeItem name="ASKPRICE1" advise="1">
        <values>
          <value>
            <val>8955</val>
          </value>
        </values>
      </ddeItem>
      <ddeItem name="ASKVOLUME1" advise="1">
        <values>
          <value>
            <val>11</val>
          </value>
        </values>
      </ddeItem>
      <ddeItem name="BIDPRICE1" advise="1">
        <values>
          <value>
            <val>8954</val>
          </value>
        </values>
      </ddeItem>
      <ddeItem name="BIDVOLUME1" advise="1">
        <values>
          <value>
            <val>31</val>
          </value>
        </values>
      </ddeItem>
      <ddeItem name="CLOSEPRICE" advise="1"/>
      <ddeItem name="FEE" advise="1"/>
      <ddeItem name="HIGH" advise="1">
        <values>
          <value>
            <val>9088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8955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8914</val>
          </value>
        </values>
      </ddeItem>
      <ddeItem name="LOWERLIMITPRICE" advise="1">
        <values>
          <value>
            <val>8061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97</val>
          </value>
        </values>
      </ddeItem>
      <ddeItem name="NETCHANGERATE" advise="1">
        <values>
          <value t="str">
            <val>+1.10%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8968</val>
          </value>
        </values>
      </ddeItem>
      <ddeItem name="POSIVOL" advise="1">
        <values>
          <value>
            <val>591026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-984</val>
          </value>
        </values>
      </ddeItem>
      <ddeItem name="PRECLOSE" advise="1">
        <values>
          <value>
            <val>8944</val>
          </value>
        </values>
      </ddeItem>
      <ddeItem name="PRESETTLEPRICE" advise="1">
        <values>
          <value>
            <val>8858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622060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9655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172168234">
    <ddeItems>
      <ddeItem name="ASKPRICE1" advise="1">
        <values>
          <value>
            <val>37020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36990</val>
          </value>
        </values>
      </ddeItem>
      <ddeItem name="BIDVOLUME1" advise="1">
        <values>
          <value>
            <val>9</val>
          </value>
        </values>
      </ddeItem>
      <ddeItem name="CLOSEPRICE" advise="1"/>
      <ddeItem name="FEE" advise="1"/>
      <ddeItem name="HIGH" advise="1">
        <values>
          <value>
            <val>37520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37015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35555</val>
          </value>
        </values>
      </ddeItem>
      <ddeItem name="LOWERLIMITPRICE" advise="1">
        <values>
          <value>
            <val>33265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465</val>
          </value>
        </values>
      </ddeItem>
      <ddeItem name="NETCHANGERATE" advise="1">
        <values>
          <value t="str">
            <val>+1.27%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36220</val>
          </value>
        </values>
      </ddeItem>
      <ddeItem name="POSIVOL" advise="1">
        <values>
          <value>
            <val>44556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-2636</val>
          </value>
        </values>
      </ddeItem>
      <ddeItem name="PRECLOSE" advise="1">
        <values>
          <value>
            <val>36310</val>
          </value>
        </values>
      </ddeItem>
      <ddeItem name="PRESETTLEPRICE" advise="1">
        <values>
          <value>
            <val>36550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96553</val>
          </value>
        </values>
      </ddeItem>
      <ddeItem name="UPDATETIME" advise="1">
        <values>
          <value t="str">
            <val>22:52:38.500</val>
          </value>
        </values>
      </ddeItem>
      <ddeItem name="UPPERLIMITPRICE" advise="1">
        <values>
          <value>
            <val>39835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894012392">
    <ddeItems>
      <ddeItem name="ASKPRICE1" advise="1">
        <values>
          <value>
            <val>480.75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480.5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485.6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480.55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474.35</val>
          </value>
        </values>
      </ddeItem>
      <ddeItem name="LOWERLIMITPRICE" advise="1">
        <values>
          <value>
            <val>408.2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-11.199999999999989</val>
          </value>
        </values>
      </ddeItem>
      <ddeItem name="NETCHANGERATE" advise="1">
        <values>
          <value t="str">
            <val>-2.28%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481</val>
          </value>
        </values>
      </ddeItem>
      <ddeItem name="POSIVOL" advise="1">
        <values>
          <value>
            <val>8173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-331</val>
          </value>
        </values>
      </ddeItem>
      <ddeItem name="PRECLOSE" advise="1">
        <values>
          <value>
            <val>492.45</val>
          </value>
        </values>
      </ddeItem>
      <ddeItem name="PRESETTLEPRICE" advise="1">
        <values>
          <value>
            <val>491.75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3429</val>
          </value>
        </values>
      </ddeItem>
      <ddeItem name="UPDATETIME" advise="1">
        <values>
          <value t="str">
            <val>22:52:35.500</val>
          </value>
        </values>
      </ddeItem>
      <ddeItem name="UPPERLIMITPRICE" advise="1">
        <values>
          <value>
            <val>575.29999999999995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85622733">
    <ddeItems>
      <ddeItem name="ASKPRICE1" advise="1">
        <values>
          <value>
            <val>3190</val>
          </value>
        </values>
      </ddeItem>
      <ddeItem name="ASKVOLUME1" advise="1">
        <values>
          <value>
            <val>6088</val>
          </value>
        </values>
      </ddeItem>
      <ddeItem name="BIDPRICE1" advise="1">
        <values>
          <value>
            <val>3189</val>
          </value>
        </values>
      </ddeItem>
      <ddeItem name="BIDVOLUME1" advise="1">
        <values>
          <value>
            <val>26</val>
          </value>
        </values>
      </ddeItem>
      <ddeItem name="CLOSEPRICE" advise="1"/>
      <ddeItem name="FEE" advise="1"/>
      <ddeItem name="HIGH" advise="1">
        <values>
          <value>
            <val>3206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3189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3177</val>
          </value>
        </values>
      </ddeItem>
      <ddeItem name="LOWERLIMITPRICE" advise="1">
        <values>
          <value>
            <val>3037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-8</val>
          </value>
        </values>
      </ddeItem>
      <ddeItem name="NETCHANGERATE" advise="1">
        <values>
          <value t="str">
            <val>-0.25%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3205</val>
          </value>
        </values>
      </ddeItem>
      <ddeItem name="POSIVOL" advise="1">
        <values>
          <value>
            <val>1851774</val>
          </value>
        </values>
      </ddeItem>
      <ddeItem name="POSIVOLCHANGE" advise="1"/>
      <ddeItem name="POSIVOLCHANGEDAILY" advise="1">
        <values>
          <value>
            <val>-21857</val>
          </value>
        </values>
      </ddeItem>
      <ddeItem name="PRECLOSE" advise="1">
        <values>
          <value>
            <val>3204</val>
          </value>
        </values>
      </ddeItem>
      <ddeItem name="PRESETTLEPRICE" advise="1">
        <values>
          <value>
            <val>3197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665323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3356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2096117273">
    <ddeItems>
      <ddeItem name="ASKPRICE1" advise="1">
        <values>
          <value>
            <val>3544</val>
          </value>
        </values>
      </ddeItem>
      <ddeItem name="ASKVOLUME1" advise="1">
        <values>
          <value>
            <val>7</val>
          </value>
        </values>
      </ddeItem>
      <ddeItem name="BIDPRICE1" advise="1">
        <values>
          <value>
            <val>3543</val>
          </value>
        </values>
      </ddeItem>
      <ddeItem name="BIDVOLUME1" advise="1">
        <values>
          <value>
            <val>94</val>
          </value>
        </values>
      </ddeItem>
      <ddeItem name="CLOSEPRICE" advise="1"/>
      <ddeItem name="FEE" advise="1"/>
      <ddeItem name="HIGH" advise="1">
        <values>
          <value>
            <val>3546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/>
      <ddeItem name="LASTPRICE" advise="1">
        <values>
          <value>
            <val>3544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3542</val>
          </value>
        </values>
      </ddeItem>
      <ddeItem name="LOWERLIMITPRICE" advise="1">
        <values>
          <value>
            <val>3367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0</val>
          </value>
        </values>
      </ddeItem>
      <ddeItem name="NETCHANGERATE" advise="1">
        <values>
          <value t="str">
            <val>0.00%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3543</val>
          </value>
        </values>
      </ddeItem>
      <ddeItem name="POSIVOL" advise="1">
        <values>
          <value>
            <val>27330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112</val>
          </value>
        </values>
      </ddeItem>
      <ddeItem name="PRECLOSE" advise="1">
        <values>
          <value>
            <val>3543</val>
          </value>
        </values>
      </ddeItem>
      <ddeItem name="PRESETTLEPRICE" advise="1">
        <values>
          <value>
            <val>3544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988</val>
          </value>
        </values>
      </ddeItem>
      <ddeItem name="UPDATETIME" advise="1">
        <values>
          <value t="str">
            <val>22:52:05.000</val>
          </value>
        </values>
      </ddeItem>
      <ddeItem name="UPPERLIMITPRICE" advise="1">
        <values>
          <value>
            <val>3721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72678222">
    <ddeItems>
      <ddeItem name="ASKPRICE1" advise="1">
        <values>
          <value>
            <val>17545</val>
          </value>
        </values>
      </ddeItem>
      <ddeItem name="ASKVOLUME1" advise="1">
        <values>
          <value>
            <val>33</val>
          </value>
        </values>
      </ddeItem>
      <ddeItem name="BIDPRICE1" advise="1">
        <values>
          <value>
            <val>17540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17825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17540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17270</val>
          </value>
        </values>
      </ddeItem>
      <ddeItem name="LOWERLIMITPRICE" advise="1">
        <values>
          <value>
            <val>16100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-155</val>
          </value>
        </values>
      </ddeItem>
      <ddeItem name="NETCHANGERATE" advise="1">
        <values>
          <value t="str">
            <val>-0.88%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17765</val>
          </value>
        </values>
      </ddeItem>
      <ddeItem name="POSIVOL" advise="1">
        <values>
          <value>
            <val>182079</val>
          </value>
        </values>
      </ddeItem>
      <ddeItem name="POSIVOLCHANGE" advise="1"/>
      <ddeItem name="POSIVOLCHANGEDAILY" advise="1">
        <values>
          <value>
            <val>-7654</val>
          </value>
        </values>
      </ddeItem>
      <ddeItem name="PRECLOSE" advise="1">
        <values>
          <value>
            <val>17740</val>
          </value>
        </values>
      </ddeItem>
      <ddeItem name="PRESETTLEPRICE" advise="1">
        <values>
          <value>
            <val>17695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390180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19285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934282104">
    <ddeItems>
      <ddeItem name="ASKPRICE1" advise="1">
        <values>
          <value>
            <val>674.1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674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691.4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674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673.7</val>
          </value>
        </values>
      </ddeItem>
      <ddeItem name="LOWERLIMITPRICE" advise="1">
        <values>
          <value>
            <val>539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0.20000000000004547</val>
          </value>
        </values>
      </ddeItem>
      <ddeItem name="NETCHANGERATE" advise="1">
        <values>
          <value t="str">
            <val>+0.03%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681.1</val>
          </value>
        </values>
      </ddeItem>
      <ddeItem name="POSIVOL" advise="1">
        <values>
          <value>
            <val>40340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21</val>
          </value>
        </values>
      </ddeItem>
      <ddeItem name="PRECLOSE" advise="1">
        <values>
          <value>
            <val>681.1</val>
          </value>
        </values>
      </ddeItem>
      <ddeItem name="PRESETTLEPRICE" advise="1">
        <values>
          <value>
            <val>673.8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34146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808.5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3741107292">
    <ddeItems>
      <ddeItem name="ASKPRICE1" advise="1">
        <values>
          <value>
            <val>8490</val>
          </value>
        </values>
      </ddeItem>
      <ddeItem name="ASKVOLUME1" advise="1">
        <values>
          <value>
            <val>314</val>
          </value>
        </values>
      </ddeItem>
      <ddeItem name="BIDPRICE1" advise="1">
        <values>
          <value>
            <val>8485</val>
          </value>
        </values>
      </ddeItem>
      <ddeItem name="BIDVOLUME1" advise="1">
        <values>
          <value>
            <val>224</val>
          </value>
        </values>
      </ddeItem>
      <ddeItem name="CLOSEPRICE" advise="1"/>
      <ddeItem name="FEE" advise="1"/>
      <ddeItem name="HIGH" advise="1">
        <values>
          <value>
            <val>8525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8485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8410</val>
          </value>
        </values>
      </ddeItem>
      <ddeItem name="LOWERLIMITPRICE" advise="1">
        <values>
          <value>
            <val>7780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30</val>
          </value>
        </values>
      </ddeItem>
      <ddeItem name="NETCHANGERATE" advise="1">
        <values>
          <value t="str">
            <val>+0.35%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8435</val>
          </value>
        </values>
      </ddeItem>
      <ddeItem name="POSIVOL" advise="1">
        <values>
          <value>
            <val>313862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7691</val>
          </value>
        </values>
      </ddeItem>
      <ddeItem name="PRECLOSE" advise="1">
        <values>
          <value>
            <val>8450</val>
          </value>
        </values>
      </ddeItem>
      <ddeItem name="PRESETTLEPRICE" advise="1">
        <values>
          <value>
            <val>8455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185313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9130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103435737">
    <ddeItems>
      <ddeItem name="ASKPRICE1" advise="1">
        <values>
          <value>
            <val>417790</val>
          </value>
        </values>
      </ddeItem>
      <ddeItem name="ASKVOLUME1" advise="1">
        <values>
          <value>
            <val>9</val>
          </value>
        </values>
      </ddeItem>
      <ddeItem name="BIDPRICE1" advise="1">
        <values>
          <value>
            <val>417700</val>
          </value>
        </values>
      </ddeItem>
      <ddeItem name="BIDVOLUME1" advise="1">
        <values>
          <value>
            <val>2</val>
          </value>
        </values>
      </ddeItem>
      <ddeItem name="CLOSEPRICE" advise="1"/>
      <ddeItem name="FEE" advise="1"/>
      <ddeItem name="HIGH" advise="1">
        <values>
          <value>
            <val>417880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417720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400300</val>
          </value>
        </values>
      </ddeItem>
      <ddeItem name="LOWERLIMITPRICE" advise="1">
        <values>
          <value>
            <val>360210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8380</val>
          </value>
        </values>
      </ddeItem>
      <ddeItem name="NETCHANGERATE" advise="1">
        <values>
          <value t="str">
            <val>+2.05%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410880</val>
          </value>
        </values>
      </ddeItem>
      <ddeItem name="POSIVOL" advise="1">
        <values>
          <value>
            <val>31249</val>
          </value>
        </values>
      </ddeItem>
      <ddeItem name="POSIVOLCHANGE" advise="1"/>
      <ddeItem name="POSIVOLCHANGEDAILY" advise="1">
        <values>
          <value>
            <val>-1523</val>
          </value>
        </values>
      </ddeItem>
      <ddeItem name="PRECLOSE" advise="1">
        <values>
          <value>
            <val>409640</val>
          </value>
        </values>
      </ddeItem>
      <ddeItem name="PRESETTLEPRICE" advise="1">
        <values>
          <value>
            <val>409340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233753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458460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038018448">
    <ddeItems>
      <ddeItem name="ASKPRICE1" advise="1">
        <values>
          <value>
            <val>4996</val>
          </value>
        </values>
      </ddeItem>
      <ddeItem name="ASKVOLUME1" advise="1">
        <values>
          <value>
            <val>79</val>
          </value>
        </values>
      </ddeItem>
      <ddeItem name="BIDPRICE1" advise="1">
        <values>
          <value>
            <val>4994</val>
          </value>
        </values>
      </ddeItem>
      <ddeItem name="BIDVOLUME1" advise="1">
        <values>
          <value>
            <val>102</val>
          </value>
        </values>
      </ddeItem>
      <ddeItem name="CLOSEPRICE" advise="1"/>
      <ddeItem name="FEE" advise="1"/>
      <ddeItem name="HIGH" advise="1">
        <values>
          <value>
            <val>5080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4996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4988</val>
          </value>
        </values>
      </ddeItem>
      <ddeItem name="LOWERLIMITPRICE" advise="1">
        <values>
          <value>
            <val>4700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-58</val>
          </value>
        </values>
      </ddeItem>
      <ddeItem name="NETCHANGERATE" advise="1">
        <values>
          <value t="str">
            <val>-1.15%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5064</val>
          </value>
        </values>
      </ddeItem>
      <ddeItem name="POSIVOL" advise="1">
        <values>
          <value>
            <val>318458</val>
          </value>
        </values>
      </ddeItem>
      <ddeItem name="POSIVOLCHANGE" advise="1"/>
      <ddeItem name="POSIVOLCHANGEDAILY" advise="1">
        <values>
          <value>
            <val>39622</val>
          </value>
        </values>
      </ddeItem>
      <ddeItem name="PRECLOSE" advise="1">
        <values>
          <value>
            <val>5060</val>
          </value>
        </values>
      </ddeItem>
      <ddeItem name="PRESETTLEPRICE" advise="1">
        <values>
          <value>
            <val>5054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343740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5406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658442241">
    <ddeItems>
      <ddeItem name="ASKPRICE1" advise="1">
        <values>
          <value>
            <val>14905</val>
          </value>
        </values>
      </ddeItem>
      <ddeItem name="ASKVOLUME1" advise="1">
        <values>
          <value>
            <val>80</val>
          </value>
        </values>
      </ddeItem>
      <ddeItem name="BIDPRICE1" advise="1">
        <values>
          <value>
            <val>14900</val>
          </value>
        </values>
      </ddeItem>
      <ddeItem name="BIDVOLUME1" advise="1">
        <values>
          <value>
            <val>127</val>
          </value>
        </values>
      </ddeItem>
      <ddeItem name="CLOSEPRICE" advise="1"/>
      <ddeItem name="FEE" advise="1"/>
      <ddeItem name="HIGH" advise="1">
        <values>
          <value>
            <val>14930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14900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14635</val>
          </value>
        </values>
      </ddeItem>
      <ddeItem name="LOWERLIMITPRICE" advise="1">
        <values>
          <value>
            <val>13785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230</val>
          </value>
        </values>
      </ddeItem>
      <ddeItem name="NETCHANGERATE" advise="1">
        <values>
          <value t="str">
            <val>+1.57%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14790</val>
          </value>
        </values>
      </ddeItem>
      <ddeItem name="POSIVOL" advise="1">
        <values>
          <value>
            <val>121596</val>
          </value>
        </values>
      </ddeItem>
      <ddeItem name="POSIVOLCHANGE" advise="1"/>
      <ddeItem name="POSIVOLCHANGEDAILY" advise="1">
        <values>
          <value>
            <val>2722</val>
          </value>
        </values>
      </ddeItem>
      <ddeItem name="PRECLOSE" advise="1">
        <values>
          <value>
            <val>14775</val>
          </value>
        </values>
      </ddeItem>
      <ddeItem name="PRESETTLEPRICE" advise="1">
        <values>
          <value>
            <val>14670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186653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15550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509143034">
    <ddeItems>
      <ddeItem name="ASKPRICE1" advise="1">
        <values>
          <value>
            <val>4955</val>
          </value>
        </values>
      </ddeItem>
      <ddeItem name="ASKVOLUME1" advise="1">
        <values>
          <value>
            <val>210</val>
          </value>
        </values>
      </ddeItem>
      <ddeItem name="BIDPRICE1" advise="1">
        <values>
          <value>
            <val>4954</val>
          </value>
        </values>
      </ddeItem>
      <ddeItem name="BIDVOLUME1" advise="1">
        <values>
          <value>
            <val>183</val>
          </value>
        </values>
      </ddeItem>
      <ddeItem name="CLOSEPRICE" advise="1"/>
      <ddeItem name="FEE" advise="1"/>
      <ddeItem name="HIGH" advise="1">
        <values>
          <value>
            <val>5069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4954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4939</val>
          </value>
        </values>
      </ddeItem>
      <ddeItem name="LOWERLIMITPRICE" advise="1">
        <values>
          <value>
            <val>4594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-94</val>
          </value>
        </values>
      </ddeItem>
      <ddeItem name="NETCHANGERATE" advise="1">
        <values>
          <value t="str">
            <val>-1.86%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5048</val>
          </value>
        </values>
      </ddeItem>
      <ddeItem name="POSIVOL" advise="1">
        <values>
          <value>
            <val>1083988</val>
          </value>
        </values>
      </ddeItem>
      <ddeItem name="POSIVOLCHANGE" advise="1">
        <values>
          <value>
            <val>-1</val>
          </value>
        </values>
      </ddeItem>
      <ddeItem name="POSIVOLCHANGEDAILY" advise="1">
        <values>
          <value>
            <val>56274</val>
          </value>
        </values>
      </ddeItem>
      <ddeItem name="PRECLOSE" advise="1">
        <values>
          <value>
            <val>5050</val>
          </value>
        </values>
      </ddeItem>
      <ddeItem name="PRESETTLEPRICE" advise="1">
        <values>
          <value>
            <val>5048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1172841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5502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917496271">
    <ddeItems>
      <ddeItem name="ASKPRICE1" advise="1">
        <values>
          <value>
            <val>3367</val>
          </value>
        </values>
      </ddeItem>
      <ddeItem name="ASKVOLUME1" advise="1">
        <values>
          <value>
            <val>1</val>
          </value>
        </values>
      </ddeItem>
      <ddeItem name="BIDPRICE1" advise="1">
        <values>
          <value>
            <val>3346</val>
          </value>
        </values>
      </ddeItem>
      <ddeItem name="BIDVOLUME1" advise="1">
        <values>
          <value>
            <val>1</val>
          </value>
        </values>
      </ddeItem>
      <ddeItem name="CLOSEPRICE" advise="1"/>
      <ddeItem name="FEE" advise="1"/>
      <ddeItem name="HIGH" advise="1">
        <values>
          <value>
            <val>3374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3349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3345</val>
          </value>
        </values>
      </ddeItem>
      <ddeItem name="LOWERLIMITPRICE" advise="1">
        <values>
          <value>
            <val>3076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5</val>
          </value>
        </values>
      </ddeItem>
      <ddeItem name="NETCHANGERATE" advise="1">
        <values>
          <value t="str">
            <val>+0.15%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3352</val>
          </value>
        </values>
      </ddeItem>
      <ddeItem name="POSIVOL" advise="1">
        <values>
          <value>
            <val>61</val>
          </value>
        </values>
      </ddeItem>
      <ddeItem name="POSIVOLCHANGE" advise="1"/>
      <ddeItem name="POSIVOLCHANGEDAILY" advise="1">
        <values>
          <value>
            <val>3</val>
          </value>
        </values>
      </ddeItem>
      <ddeItem name="PRECLOSE" advise="1">
        <values>
          <value>
            <val>3349</val>
          </value>
        </values>
      </ddeItem>
      <ddeItem name="PRESETTLEPRICE" advise="1">
        <values>
          <value>
            <val>3344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36</val>
          </value>
        </values>
      </ddeItem>
      <ddeItem name="UPDATETIME" advise="1">
        <values>
          <value t="str">
            <val>22:00:15.000</val>
          </value>
        </values>
      </ddeItem>
      <ddeItem name="UPPERLIMITPRICE" advise="1">
        <values>
          <value>
            <val>3611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1437971348">
    <ddeItems>
      <ddeItem name="ASKPRICE1" advise="1">
        <values>
          <value>
            <val>8654</val>
          </value>
        </values>
      </ddeItem>
      <ddeItem name="ASKVOLUME1" advise="1">
        <values>
          <value>
            <val>76</val>
          </value>
        </values>
      </ddeItem>
      <ddeItem name="BIDPRICE1" advise="1">
        <values>
          <value>
            <val>8653</val>
          </value>
        </values>
      </ddeItem>
      <ddeItem name="BIDVOLUME1" advise="1">
        <values>
          <value>
            <val>14</val>
          </value>
        </values>
      </ddeItem>
      <ddeItem name="CLOSEPRICE" advise="1"/>
      <ddeItem name="FEE" advise="1"/>
      <ddeItem name="HIGH" advise="1">
        <values>
          <value>
            <val>8682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8654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8559</val>
          </value>
        </values>
      </ddeItem>
      <ddeItem name="LOWERLIMITPRICE" advise="1">
        <values>
          <value>
            <val>8013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130</val>
          </value>
        </values>
      </ddeItem>
      <ddeItem name="NETCHANGERATE" advise="1">
        <values>
          <value t="str">
            <val>+1.53%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8600</val>
          </value>
        </values>
      </ddeItem>
      <ddeItem name="POSIVOL" advise="1">
        <values>
          <value>
            <val>696249</val>
          </value>
        </values>
      </ddeItem>
      <ddeItem name="POSIVOLCHANGE" advise="1">
        <values>
          <value>
            <val>0</val>
          </value>
        </values>
      </ddeItem>
      <ddeItem name="POSIVOLCHANGEDAILY" advise="1">
        <values>
          <value>
            <val>6254</val>
          </value>
        </values>
      </ddeItem>
      <ddeItem name="PRECLOSE" advise="1">
        <values>
          <value>
            <val>8588</val>
          </value>
        </values>
      </ddeItem>
      <ddeItem name="PRESETTLEPRICE" advise="1">
        <values>
          <value>
            <val>8524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352912</val>
          </value>
        </values>
      </ddeItem>
      <ddeItem name="UPDATETIME" advise="1">
        <values>
          <value t="str">
            <val>22:52:40.500</val>
          </value>
        </values>
      </ddeItem>
      <ddeItem name="UPPERLIMITPRICE" advise="1">
        <values>
          <value>
            <val>9035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QD" ddeTopic="4075473146">
    <ddeItems>
      <ddeItem name="ASKPRICE1" advise="1">
        <values>
          <value>
            <val>24730</val>
          </value>
        </values>
      </ddeItem>
      <ddeItem name="ASKVOLUME1" advise="1">
        <values>
          <value>
            <val>9</val>
          </value>
        </values>
      </ddeItem>
      <ddeItem name="BIDPRICE1" advise="1">
        <values>
          <value>
            <val>24715</val>
          </value>
        </values>
      </ddeItem>
      <ddeItem name="BIDVOLUME1" advise="1">
        <values>
          <value>
            <val>5</val>
          </value>
        </values>
      </ddeItem>
      <ddeItem name="CLOSEPRICE" advise="1"/>
      <ddeItem name="FEE" advise="1"/>
      <ddeItem name="HIGH" advise="1">
        <values>
          <value>
            <val>24745</val>
          </value>
        </values>
      </ddeItem>
      <ddeItem name="IMPLYASKPRICE1" advise="1"/>
      <ddeItem name="IMPLYASKVOLUME1" advise="1">
        <values>
          <value>
            <val>0</val>
          </value>
        </values>
      </ddeItem>
      <ddeItem name="IMPLYBIDPRICE1" advise="1"/>
      <ddeItem name="IMPLYBIDVOLUME1" advise="1">
        <values>
          <value>
            <val>0</val>
          </value>
        </values>
      </ddeItem>
      <ddeItem name="INST_STATE" advise="1">
        <values>
          <value t="str">
            <val>连续交易</val>
          </value>
        </values>
      </ddeItem>
      <ddeItem name="LASTPRICE" advise="1">
        <values>
          <value>
            <val>24730</val>
          </value>
        </values>
      </ddeItem>
      <ddeItem name="LONGPOSITION2200107473" advise="1">
        <values>
          <value>
            <val>0</val>
          </value>
        </values>
      </ddeItem>
      <ddeItem name="LOW" advise="1">
        <values>
          <value>
            <val>24385</val>
          </value>
        </values>
      </ddeItem>
      <ddeItem name="LOWERLIMITPRICE" advise="1">
        <values>
          <value>
            <val>22130</val>
          </value>
        </values>
      </ddeItem>
      <ddeItem name="MARGIN" advise="1"/>
      <ddeItem name="MTMPL2200107473" advise="1">
        <values>
          <value>
            <val>0</val>
          </value>
        </values>
      </ddeItem>
      <ddeItem name="NETCHANGE" advise="1">
        <values>
          <value>
            <val>140</val>
          </value>
        </values>
      </ddeItem>
      <ddeItem name="NETCHANGERATE" advise="1">
        <values>
          <value t="str">
            <val>+0.57%</val>
          </value>
        </values>
      </ddeItem>
      <ddeItem name="NETVOLUME2200107473" advise="1">
        <values>
          <value>
            <val>0</val>
          </value>
        </values>
      </ddeItem>
      <ddeItem name="OPENPRICE" advise="1">
        <values>
          <value>
            <val>24600</val>
          </value>
        </values>
      </ddeItem>
      <ddeItem name="POSIVOL" advise="1">
        <values>
          <value>
            <val>59621</val>
          </value>
        </values>
      </ddeItem>
      <ddeItem name="POSIVOLCHANGE" advise="1"/>
      <ddeItem name="POSIVOLCHANGEDAILY" advise="1">
        <values>
          <value>
            <val>-7920</val>
          </value>
        </values>
      </ddeItem>
      <ddeItem name="PRECLOSE" advise="1">
        <values>
          <value>
            <val>24640</val>
          </value>
        </values>
      </ddeItem>
      <ddeItem name="PRESETTLEPRICE" advise="1">
        <values>
          <value>
            <val>24590</val>
          </value>
        </values>
      </ddeItem>
      <ddeItem name="SETTLEPRICE" advise="1"/>
      <ddeItem name="SHORTPOSITION2200107473" advise="1">
        <values>
          <value>
            <val>0</val>
          </value>
        </values>
      </ddeItem>
      <ddeItem name="StdDocumentName" ole="1" advise="1"/>
      <ddeItem name="TRADEVOLUME" advise="1">
        <values>
          <value>
            <val>95271</val>
          </value>
        </values>
      </ddeItem>
      <ddeItem name="UPDATETIME" advise="1">
        <values>
          <value t="str">
            <val>22:00:47.000</val>
          </value>
        </values>
      </ddeItem>
      <ddeItem name="UPPERLIMITPRICE" advise="1">
        <values>
          <value>
            <val>27045</val>
          </value>
        </values>
      </ddeItem>
      <ddeItem name="VOLUMEASKLOT" advise="1">
        <values>
          <value>
            <val>0</val>
          </value>
        </values>
      </ddeItem>
      <ddeItem name="VOLUMEBIDLOT" advise="1">
        <values>
          <value>
            <val>0</val>
          </value>
        </values>
      </ddeItem>
    </ddeItems>
  </dd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8"/>
  <sheetViews>
    <sheetView tabSelected="1" topLeftCell="Z1" workbookViewId="0">
      <selection sqref="A1:AO88"/>
    </sheetView>
  </sheetViews>
  <sheetFormatPr defaultRowHeight="13.8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41</v>
      </c>
      <c r="C2" cm="1">
        <f t="array" ref="C2">[1]!NETVOLUME2200107473</f>
        <v>0</v>
      </c>
      <c r="D2" cm="1">
        <f t="array" ref="D2">[1]!LONGPOSITION2200107473</f>
        <v>0</v>
      </c>
      <c r="E2" cm="1">
        <f t="array" ref="E2">[1]!SHORTPOSITION2200107473</f>
        <v>0</v>
      </c>
      <c r="F2" cm="1">
        <f t="array" ref="F2">[1]!MTMPL2200107473</f>
        <v>0</v>
      </c>
      <c r="G2" cm="1">
        <f t="array" ref="G2">[1]!LASTPRICE</f>
        <v>7399</v>
      </c>
      <c r="H2" cm="1">
        <f t="array" ref="H2">[1]!NETCHANGE</f>
        <v>-8</v>
      </c>
      <c r="I2" t="str" cm="1">
        <f t="array" ref="I2">[1]!NETCHANGERATE</f>
        <v>-0.11%</v>
      </c>
      <c r="J2" cm="1">
        <f t="array" ref="J2">[1]!BIDVOLUME1</f>
        <v>26</v>
      </c>
      <c r="K2" cm="1">
        <f t="array" ref="K2">[1]!BIDPRICE1</f>
        <v>7399</v>
      </c>
      <c r="L2" cm="1">
        <f t="array" ref="L2">[1]!ASKPRICE1</f>
        <v>7400</v>
      </c>
      <c r="M2" cm="1">
        <f t="array" ref="M2">[1]!ASKVOLUME1</f>
        <v>10</v>
      </c>
      <c r="N2" cm="1">
        <f t="array" ref="N2">[1]!OPENPRICE</f>
        <v>7398</v>
      </c>
      <c r="O2" cm="1">
        <f t="array" ref="O2">[1]!HIGH</f>
        <v>7428</v>
      </c>
      <c r="P2" cm="1">
        <f t="array" ref="P2">[1]!LOW</f>
        <v>7347</v>
      </c>
      <c r="Q2" cm="1">
        <f t="array" ref="Q2">[1]!TRADEVOLUME</f>
        <v>53159</v>
      </c>
      <c r="R2" cm="1">
        <f t="array" ref="R2">[1]!POSIVOL</f>
        <v>123565</v>
      </c>
      <c r="S2" cm="1">
        <f t="array" ref="S2">[1]!POSIVOLCHANGE</f>
        <v>-1</v>
      </c>
      <c r="T2" cm="1">
        <f t="array" ref="T2">[1]!POSIVOLCHANGEDAILY</f>
        <v>363</v>
      </c>
      <c r="U2" t="str" cm="1">
        <f t="array" ref="U2">[1]!INST_STATE</f>
        <v>连续交易</v>
      </c>
      <c r="V2" t="str" cm="1">
        <f t="array" ref="V2">[1]!UPDATETIME</f>
        <v>22:52:40.000</v>
      </c>
      <c r="W2" cm="1">
        <f t="array" ref="W2">[1]!UPPERLIMITPRICE</f>
        <v>8000</v>
      </c>
      <c r="X2" cm="1">
        <f t="array" ref="X2">[1]!LOWERLIMITPRICE</f>
        <v>6814</v>
      </c>
      <c r="Y2" t="e" cm="1">
        <f t="array" ref="Y2">[1]!CLOSEPRICE</f>
        <v>#N/A</v>
      </c>
      <c r="Z2" t="e" cm="1">
        <f t="array" ref="Z2">[1]!SETTLEPRICE</f>
        <v>#N/A</v>
      </c>
      <c r="AA2" cm="1">
        <f t="array" ref="AA2">[1]!PRECLOSE</f>
        <v>7390</v>
      </c>
      <c r="AB2" cm="1">
        <f t="array" ref="AB2">[1]!PRESETTLEPRICE</f>
        <v>7407</v>
      </c>
      <c r="AC2" t="s">
        <v>42</v>
      </c>
      <c r="AD2" t="s">
        <v>43</v>
      </c>
      <c r="AE2">
        <v>10</v>
      </c>
      <c r="AF2">
        <v>20261021</v>
      </c>
      <c r="AG2" t="str" cm="1">
        <f t="array" ref="AG2">[1]!MARGIN</f>
        <v>15.00%</v>
      </c>
      <c r="AH2" t="str" cm="1">
        <f t="array" ref="AH2">[1]!FEE</f>
        <v>5.00</v>
      </c>
      <c r="AJ2" cm="1">
        <f t="array" ref="AJ2">[1]!IMPLYBIDVOLUME1</f>
        <v>0</v>
      </c>
      <c r="AK2" t="e" cm="1">
        <f t="array" ref="AK2">[1]!IMPLYBIDPRICE1</f>
        <v>#N/A</v>
      </c>
      <c r="AL2" t="e" cm="1">
        <f t="array" ref="AL2">[1]!IMPLYASKPRICE1</f>
        <v>#N/A</v>
      </c>
      <c r="AM2" cm="1">
        <f t="array" ref="AM2">[1]!IMPLYASKVOLUME1</f>
        <v>0</v>
      </c>
      <c r="AN2" cm="1">
        <f t="array" ref="AN2">[1]!VOLUMEBIDLOT</f>
        <v>0</v>
      </c>
      <c r="AO2" cm="1">
        <f t="array" ref="AO2">[1]!VOLUMEASKLOT</f>
        <v>0</v>
      </c>
    </row>
    <row r="3" spans="1:41" x14ac:dyDescent="0.25">
      <c r="A3" t="s">
        <v>44</v>
      </c>
      <c r="B3" t="s">
        <v>44</v>
      </c>
      <c r="C3" cm="1">
        <f t="array" ref="C3">[2]!NETVOLUME2200107473</f>
        <v>0</v>
      </c>
      <c r="D3" cm="1">
        <f t="array" ref="D3">[2]!LONGPOSITION2200107473</f>
        <v>0</v>
      </c>
      <c r="E3" cm="1">
        <f t="array" ref="E3">[2]!SHORTPOSITION2200107473</f>
        <v>0</v>
      </c>
      <c r="F3" cm="1">
        <f t="array" ref="F3">[2]!MTMPL2200107473</f>
        <v>0</v>
      </c>
      <c r="G3" cm="1">
        <f t="array" ref="G3">[2]!LASTPRICE</f>
        <v>16135</v>
      </c>
      <c r="H3" cm="1">
        <f t="array" ref="H3">[2]!NETCHANGE</f>
        <v>-30</v>
      </c>
      <c r="I3" t="str" cm="1">
        <f t="array" ref="I3">[2]!NETCHANGERATE</f>
        <v>-0.19%</v>
      </c>
      <c r="J3" cm="1">
        <f t="array" ref="J3">[2]!BIDVOLUME1</f>
        <v>170</v>
      </c>
      <c r="K3" cm="1">
        <f t="array" ref="K3">[2]!BIDPRICE1</f>
        <v>16135</v>
      </c>
      <c r="L3" cm="1">
        <f t="array" ref="L3">[2]!ASKPRICE1</f>
        <v>16140</v>
      </c>
      <c r="M3" cm="1">
        <f t="array" ref="M3">[2]!ASKVOLUME1</f>
        <v>572</v>
      </c>
      <c r="N3" cm="1">
        <f t="array" ref="N3">[2]!OPENPRICE</f>
        <v>16125</v>
      </c>
      <c r="O3" cm="1">
        <f t="array" ref="O3">[2]!HIGH</f>
        <v>16190</v>
      </c>
      <c r="P3" cm="1">
        <f t="array" ref="P3">[2]!LOW</f>
        <v>15935</v>
      </c>
      <c r="Q3" cm="1">
        <f t="array" ref="Q3">[2]!TRADEVOLUME</f>
        <v>444006</v>
      </c>
      <c r="R3" cm="1">
        <f t="array" ref="R3">[2]!POSIVOL</f>
        <v>672032</v>
      </c>
      <c r="S3" cm="1">
        <f t="array" ref="S3">[2]!POSIVOLCHANGE</f>
        <v>1</v>
      </c>
      <c r="T3" cm="1">
        <f t="array" ref="T3">[2]!POSIVOLCHANGEDAILY</f>
        <v>-13823</v>
      </c>
      <c r="U3" t="str" cm="1">
        <f t="array" ref="U3">[2]!INST_STATE</f>
        <v>连续交易</v>
      </c>
      <c r="V3" t="str" cm="1">
        <f t="array" ref="V3">[2]!UPDATETIME</f>
        <v>22:52:40.000</v>
      </c>
      <c r="W3" cm="1">
        <f t="array" ref="W3">[2]!UPPERLIMITPRICE</f>
        <v>17135</v>
      </c>
      <c r="X3" cm="1">
        <f t="array" ref="X3">[2]!LOWERLIMITPRICE</f>
        <v>15195</v>
      </c>
      <c r="Y3" t="e" cm="1">
        <f t="array" ref="Y3">[2]!CLOSEPRICE</f>
        <v>#N/A</v>
      </c>
      <c r="Z3" cm="1">
        <f t="array" ref="Z3">[2]!SETTLEPRICE</f>
        <v>16150</v>
      </c>
      <c r="AA3" cm="1">
        <f t="array" ref="AA3">[2]!PRECLOSE</f>
        <v>16160</v>
      </c>
      <c r="AB3" cm="1">
        <f t="array" ref="AB3">[2]!PRESETTLEPRICE</f>
        <v>16165</v>
      </c>
      <c r="AC3" t="s">
        <v>42</v>
      </c>
      <c r="AD3" t="s">
        <v>45</v>
      </c>
      <c r="AE3">
        <v>5</v>
      </c>
      <c r="AF3">
        <v>20260914</v>
      </c>
      <c r="AG3" t="e" cm="1">
        <f t="array" ref="AG3">[2]!MARGIN</f>
        <v>#N/A</v>
      </c>
      <c r="AH3" t="e" cm="1">
        <f t="array" ref="AH3">[2]!FEE</f>
        <v>#N/A</v>
      </c>
      <c r="AJ3" cm="1">
        <f t="array" ref="AJ3">[2]!IMPLYBIDVOLUME1</f>
        <v>0</v>
      </c>
      <c r="AK3" t="e" cm="1">
        <f t="array" ref="AK3">[2]!IMPLYBIDPRICE1</f>
        <v>#N/A</v>
      </c>
      <c r="AL3" t="e" cm="1">
        <f t="array" ref="AL3">[2]!IMPLYASKPRICE1</f>
        <v>#N/A</v>
      </c>
      <c r="AM3" cm="1">
        <f t="array" ref="AM3">[2]!IMPLYASKVOLUME1</f>
        <v>0</v>
      </c>
      <c r="AN3" cm="1">
        <f t="array" ref="AN3">[2]!VOLUMEBIDLOT</f>
        <v>0</v>
      </c>
      <c r="AO3" cm="1">
        <f t="array" ref="AO3">[2]!VOLUMEASKLOT</f>
        <v>0</v>
      </c>
    </row>
    <row r="4" spans="1:41" x14ac:dyDescent="0.25">
      <c r="A4" t="s">
        <v>46</v>
      </c>
      <c r="B4" t="s">
        <v>46</v>
      </c>
      <c r="C4" cm="1">
        <f t="array" ref="C4">[3]!NETVOLUME2200107473</f>
        <v>0</v>
      </c>
      <c r="D4" cm="1">
        <f t="array" ref="D4">[3]!LONGPOSITION2200107473</f>
        <v>0</v>
      </c>
      <c r="E4" cm="1">
        <f t="array" ref="E4">[3]!SHORTPOSITION2200107473</f>
        <v>0</v>
      </c>
      <c r="F4" cm="1">
        <f t="array" ref="F4">[3]!MTMPL2200107473</f>
        <v>0</v>
      </c>
      <c r="G4" cm="1">
        <f t="array" ref="G4">[3]!LASTPRICE</f>
        <v>9025</v>
      </c>
      <c r="H4" cm="1">
        <f t="array" ref="H4">[3]!NETCHANGE</f>
        <v>-30</v>
      </c>
      <c r="I4" t="str" cm="1">
        <f t="array" ref="I4">[3]!NETCHANGERATE</f>
        <v>-0.33%</v>
      </c>
      <c r="J4" cm="1">
        <f t="array" ref="J4">[3]!BIDVOLUME1</f>
        <v>172</v>
      </c>
      <c r="K4" cm="1">
        <f t="array" ref="K4">[3]!BIDPRICE1</f>
        <v>9025</v>
      </c>
      <c r="L4" cm="1">
        <f t="array" ref="L4">[3]!ASKPRICE1</f>
        <v>9030</v>
      </c>
      <c r="M4" cm="1">
        <f t="array" ref="M4">[3]!ASKVOLUME1</f>
        <v>42</v>
      </c>
      <c r="N4" cm="1">
        <f t="array" ref="N4">[3]!OPENPRICE</f>
        <v>9025</v>
      </c>
      <c r="O4" cm="1">
        <f t="array" ref="O4">[3]!HIGH</f>
        <v>9115</v>
      </c>
      <c r="P4" cm="1">
        <f t="array" ref="P4">[3]!LOW</f>
        <v>8990</v>
      </c>
      <c r="Q4" cm="1">
        <f t="array" ref="Q4">[3]!TRADEVOLUME</f>
        <v>65564</v>
      </c>
      <c r="R4" cm="1">
        <f t="array" ref="R4">[3]!POSIVOL</f>
        <v>117279</v>
      </c>
      <c r="S4" cm="1">
        <f t="array" ref="S4">[3]!POSIVOLCHANGE</f>
        <v>0</v>
      </c>
      <c r="T4" cm="1">
        <f t="array" ref="T4">[3]!POSIVOLCHANGEDAILY</f>
        <v>3554</v>
      </c>
      <c r="U4" t="str" cm="1">
        <f t="array" ref="U4">[3]!INST_STATE</f>
        <v>连续交易</v>
      </c>
      <c r="V4" t="str" cm="1">
        <f t="array" ref="V4">[3]!UPDATETIME</f>
        <v>22:52:39.000</v>
      </c>
      <c r="W4" cm="1">
        <f t="array" ref="W4">[3]!UPPERLIMITPRICE</f>
        <v>9690</v>
      </c>
      <c r="X4" cm="1">
        <f t="array" ref="X4">[3]!LOWERLIMITPRICE</f>
        <v>8420</v>
      </c>
      <c r="Y4" t="e" cm="1">
        <f t="array" ref="Y4">[3]!CLOSEPRICE</f>
        <v>#N/A</v>
      </c>
      <c r="Z4" t="e" cm="1">
        <f t="array" ref="Z4">[3]!SETTLEPRICE</f>
        <v>#N/A</v>
      </c>
      <c r="AA4" cm="1">
        <f t="array" ref="AA4">[3]!PRECLOSE</f>
        <v>9055</v>
      </c>
      <c r="AB4" cm="1">
        <f t="array" ref="AB4">[3]!PRESETTLEPRICE</f>
        <v>9055</v>
      </c>
      <c r="AC4" t="s">
        <v>42</v>
      </c>
      <c r="AD4" t="s">
        <v>47</v>
      </c>
      <c r="AE4">
        <v>5</v>
      </c>
      <c r="AF4">
        <v>20260914</v>
      </c>
      <c r="AG4" t="str" cm="1">
        <f t="array" ref="AG4">[3]!MARGIN</f>
        <v>18.00%</v>
      </c>
      <c r="AH4" t="str" cm="1">
        <f t="array" ref="AH4">[3]!FEE</f>
        <v>开仓3.00,平仓3.00,平今0.00</v>
      </c>
      <c r="AJ4" cm="1">
        <f t="array" ref="AJ4">[3]!IMPLYBIDVOLUME1</f>
        <v>0</v>
      </c>
      <c r="AK4" t="e" cm="1">
        <f t="array" ref="AK4">[3]!IMPLYBIDPRICE1</f>
        <v>#N/A</v>
      </c>
      <c r="AL4" t="e" cm="1">
        <f t="array" ref="AL4">[3]!IMPLYASKPRICE1</f>
        <v>#N/A</v>
      </c>
      <c r="AM4" cm="1">
        <f t="array" ref="AM4">[3]!IMPLYASKVOLUME1</f>
        <v>0</v>
      </c>
      <c r="AN4" cm="1">
        <f t="array" ref="AN4">[3]!VOLUMEBIDLOT</f>
        <v>0</v>
      </c>
      <c r="AO4" cm="1">
        <f t="array" ref="AO4">[3]!VOLUMEASKLOT</f>
        <v>0</v>
      </c>
    </row>
    <row r="5" spans="1:41" x14ac:dyDescent="0.25">
      <c r="A5" t="s">
        <v>48</v>
      </c>
      <c r="B5" t="s">
        <v>48</v>
      </c>
      <c r="C5" cm="1">
        <f t="array" ref="C5">[4]!NETVOLUME2200107473</f>
        <v>0</v>
      </c>
      <c r="D5" cm="1">
        <f t="array" ref="D5">[4]!LONGPOSITION2200107473</f>
        <v>0</v>
      </c>
      <c r="E5" cm="1">
        <f t="array" ref="E5">[4]!SHORTPOSITION2200107473</f>
        <v>0</v>
      </c>
      <c r="F5" cm="1">
        <f t="array" ref="F5">[4]!MTMPL2200107473</f>
        <v>0</v>
      </c>
      <c r="G5" cm="1">
        <f t="array" ref="G5">[4]!LASTPRICE</f>
        <v>22135</v>
      </c>
      <c r="H5" cm="1">
        <f t="array" ref="H5">[4]!NETCHANGE</f>
        <v>-5</v>
      </c>
      <c r="I5" t="str" cm="1">
        <f t="array" ref="I5">[4]!NETCHANGERATE</f>
        <v>-0.02%</v>
      </c>
      <c r="J5" cm="1">
        <f t="array" ref="J5">[4]!BIDVOLUME1</f>
        <v>13</v>
      </c>
      <c r="K5" cm="1">
        <f t="array" ref="K5">[4]!BIDPRICE1</f>
        <v>22130</v>
      </c>
      <c r="L5" cm="1">
        <f t="array" ref="L5">[4]!ASKPRICE1</f>
        <v>22135</v>
      </c>
      <c r="M5" cm="1">
        <f t="array" ref="M5">[4]!ASKVOLUME1</f>
        <v>6</v>
      </c>
      <c r="N5" cm="1">
        <f t="array" ref="N5">[4]!OPENPRICE</f>
        <v>22100</v>
      </c>
      <c r="O5" cm="1">
        <f t="array" ref="O5">[4]!HIGH</f>
        <v>22155</v>
      </c>
      <c r="P5" cm="1">
        <f t="array" ref="P5">[4]!LOW</f>
        <v>21910</v>
      </c>
      <c r="Q5" cm="1">
        <f t="array" ref="Q5">[4]!TRADEVOLUME</f>
        <v>9343</v>
      </c>
      <c r="R5" cm="1">
        <f t="array" ref="R5">[4]!POSIVOL</f>
        <v>14812</v>
      </c>
      <c r="S5" cm="1">
        <f t="array" ref="S5">[4]!POSIVOLCHANGE</f>
        <v>0</v>
      </c>
      <c r="T5" cm="1">
        <f t="array" ref="T5">[4]!POSIVOLCHANGEDAILY</f>
        <v>-644</v>
      </c>
      <c r="U5" t="str" cm="1">
        <f t="array" ref="U5">[4]!INST_STATE</f>
        <v>连续交易</v>
      </c>
      <c r="V5" t="str" cm="1">
        <f t="array" ref="V5">[4]!UPDATETIME</f>
        <v>22:52:40.000</v>
      </c>
      <c r="W5" cm="1">
        <f t="array" ref="W5">[4]!UPPERLIMITPRICE</f>
        <v>23030</v>
      </c>
      <c r="X5" cm="1">
        <f t="array" ref="X5">[4]!LOWERLIMITPRICE</f>
        <v>21250</v>
      </c>
      <c r="Y5" t="e" cm="1">
        <f t="array" ref="Y5">[4]!CLOSEPRICE</f>
        <v>#N/A</v>
      </c>
      <c r="Z5" cm="1">
        <f t="array" ref="Z5">[4]!SETTLEPRICE</f>
        <v>22105</v>
      </c>
      <c r="AA5" cm="1">
        <f t="array" ref="AA5">[4]!PRECLOSE</f>
        <v>22160</v>
      </c>
      <c r="AB5" cm="1">
        <f t="array" ref="AB5">[4]!PRESETTLEPRICE</f>
        <v>22140</v>
      </c>
      <c r="AC5" t="s">
        <v>42</v>
      </c>
      <c r="AD5" t="s">
        <v>49</v>
      </c>
      <c r="AE5">
        <v>5</v>
      </c>
      <c r="AF5">
        <v>20260714</v>
      </c>
      <c r="AG5" t="str" cm="1">
        <f t="array" ref="AG5">[4]!MARGIN</f>
        <v>25.00%</v>
      </c>
      <c r="AH5" t="str" cm="1">
        <f t="array" ref="AH5">[4]!FEE</f>
        <v>开仓4.00,平仓4.00,平今0.00</v>
      </c>
      <c r="AJ5" cm="1">
        <f t="array" ref="AJ5">[4]!IMPLYBIDVOLUME1</f>
        <v>0</v>
      </c>
      <c r="AK5" t="e" cm="1">
        <f t="array" ref="AK5">[4]!IMPLYBIDPRICE1</f>
        <v>#N/A</v>
      </c>
      <c r="AL5" t="e" cm="1">
        <f t="array" ref="AL5">[4]!IMPLYASKPRICE1</f>
        <v>#N/A</v>
      </c>
      <c r="AM5" cm="1">
        <f t="array" ref="AM5">[4]!IMPLYASKVOLUME1</f>
        <v>0</v>
      </c>
      <c r="AN5" cm="1">
        <f t="array" ref="AN5">[4]!VOLUMEBIDLOT</f>
        <v>0</v>
      </c>
      <c r="AO5" cm="1">
        <f t="array" ref="AO5">[4]!VOLUMEASKLOT</f>
        <v>0</v>
      </c>
    </row>
    <row r="6" spans="1:41" x14ac:dyDescent="0.25">
      <c r="A6" t="s">
        <v>50</v>
      </c>
      <c r="B6" t="s">
        <v>50</v>
      </c>
      <c r="C6" cm="1">
        <f t="array" ref="C6">[5]!NETVOLUME2200107473</f>
        <v>0</v>
      </c>
      <c r="D6" cm="1">
        <f t="array" ref="D6">[5]!LONGPOSITION2200107473</f>
        <v>0</v>
      </c>
      <c r="E6" cm="1">
        <f t="array" ref="E6">[5]!SHORTPOSITION2200107473</f>
        <v>0</v>
      </c>
      <c r="F6" cm="1">
        <f t="array" ref="F6">[5]!MTMPL2200107473</f>
        <v>0</v>
      </c>
      <c r="G6" cm="1">
        <f t="array" ref="G6">[5]!LASTPRICE</f>
        <v>1014</v>
      </c>
      <c r="H6" cm="1">
        <f t="array" ref="H6">[5]!NETCHANGE</f>
        <v>-13</v>
      </c>
      <c r="I6" t="str" cm="1">
        <f t="array" ref="I6">[5]!NETCHANGERATE</f>
        <v>-1.27%</v>
      </c>
      <c r="J6" cm="1">
        <f t="array" ref="J6">[5]!BIDVOLUME1</f>
        <v>816</v>
      </c>
      <c r="K6" cm="1">
        <f t="array" ref="K6">[5]!BIDPRICE1</f>
        <v>1014</v>
      </c>
      <c r="L6" cm="1">
        <f t="array" ref="L6">[5]!ASKPRICE1</f>
        <v>1015</v>
      </c>
      <c r="M6" cm="1">
        <f t="array" ref="M6">[5]!ASKVOLUME1</f>
        <v>4821</v>
      </c>
      <c r="N6" cm="1">
        <f t="array" ref="N6">[5]!OPENPRICE</f>
        <v>1025</v>
      </c>
      <c r="O6" cm="1">
        <f t="array" ref="O6">[5]!HIGH</f>
        <v>1027</v>
      </c>
      <c r="P6" cm="1">
        <f t="array" ref="P6">[5]!LOW</f>
        <v>1007</v>
      </c>
      <c r="Q6" cm="1">
        <f t="array" ref="Q6">[5]!TRADEVOLUME</f>
        <v>869907</v>
      </c>
      <c r="R6" cm="1">
        <f t="array" ref="R6">[5]!POSIVOL</f>
        <v>1631992</v>
      </c>
      <c r="S6" cm="1">
        <f t="array" ref="S6">[5]!POSIVOLCHANGE</f>
        <v>0</v>
      </c>
      <c r="T6" cm="1">
        <f t="array" ref="T6">[5]!POSIVOLCHANGEDAILY</f>
        <v>56864</v>
      </c>
      <c r="U6" t="str" cm="1">
        <f t="array" ref="U6">[5]!INST_STATE</f>
        <v>连续交易</v>
      </c>
      <c r="V6" t="str" cm="1">
        <f t="array" ref="V6">[5]!UPDATETIME</f>
        <v>22:52:40.000</v>
      </c>
      <c r="W6" cm="1">
        <f t="array" ref="W6">[5]!UPPERLIMITPRICE</f>
        <v>1120</v>
      </c>
      <c r="X6" cm="1">
        <f t="array" ref="X6">[5]!LOWERLIMITPRICE</f>
        <v>934</v>
      </c>
      <c r="Y6" t="e" cm="1">
        <f t="array" ref="Y6">[5]!CLOSEPRICE</f>
        <v>#N/A</v>
      </c>
      <c r="Z6" cm="1">
        <f t="array" ref="Z6">[5]!SETTLEPRICE</f>
        <v>1020</v>
      </c>
      <c r="AA6" cm="1">
        <f t="array" ref="AA6">[5]!PRECLOSE</f>
        <v>1021</v>
      </c>
      <c r="AB6" cm="1">
        <f t="array" ref="AB6">[5]!PRESETTLEPRICE</f>
        <v>1027</v>
      </c>
      <c r="AC6" t="s">
        <v>42</v>
      </c>
      <c r="AD6" t="s">
        <v>51</v>
      </c>
      <c r="AE6">
        <v>20</v>
      </c>
      <c r="AF6">
        <v>20260914</v>
      </c>
      <c r="AG6" t="e" cm="1">
        <f t="array" ref="AG6">[5]!MARGIN</f>
        <v>#N/A</v>
      </c>
      <c r="AH6" t="e" cm="1">
        <f t="array" ref="AH6">[5]!FEE</f>
        <v>#N/A</v>
      </c>
      <c r="AJ6" cm="1">
        <f t="array" ref="AJ6">[5]!IMPLYBIDVOLUME1</f>
        <v>0</v>
      </c>
      <c r="AK6" t="e" cm="1">
        <f t="array" ref="AK6">[5]!IMPLYBIDPRICE1</f>
        <v>#N/A</v>
      </c>
      <c r="AL6" t="e" cm="1">
        <f t="array" ref="AL6">[5]!IMPLYASKPRICE1</f>
        <v>#N/A</v>
      </c>
      <c r="AM6" cm="1">
        <f t="array" ref="AM6">[5]!IMPLYASKVOLUME1</f>
        <v>0</v>
      </c>
      <c r="AN6" cm="1">
        <f t="array" ref="AN6">[5]!VOLUMEBIDLOT</f>
        <v>0</v>
      </c>
      <c r="AO6" cm="1">
        <f t="array" ref="AO6">[5]!VOLUMEASKLOT</f>
        <v>0</v>
      </c>
    </row>
    <row r="7" spans="1:41" x14ac:dyDescent="0.25">
      <c r="A7" t="s">
        <v>52</v>
      </c>
      <c r="B7" t="s">
        <v>52</v>
      </c>
      <c r="C7" cm="1">
        <f t="array" ref="C7">[6]!NETVOLUME2200107473</f>
        <v>0</v>
      </c>
      <c r="D7" cm="1">
        <f t="array" ref="D7">[6]!LONGPOSITION2200107473</f>
        <v>0</v>
      </c>
      <c r="E7" cm="1">
        <f t="array" ref="E7">[6]!SHORTPOSITION2200107473</f>
        <v>0</v>
      </c>
      <c r="F7" cm="1">
        <f t="array" ref="F7">[6]!MTMPL2200107473</f>
        <v>0</v>
      </c>
      <c r="G7" cm="1">
        <f t="array" ref="G7">[6]!LASTPRICE</f>
        <v>8571.7999999999993</v>
      </c>
      <c r="H7" cm="1">
        <f t="array" ref="H7">[6]!NETCHANGE</f>
        <v>52.399999999999636</v>
      </c>
      <c r="I7" t="str" cm="1">
        <f t="array" ref="I7">[6]!NETCHANGERATE</f>
        <v>+0.62%</v>
      </c>
      <c r="J7" cm="1">
        <f t="array" ref="J7">[6]!BIDVOLUME1</f>
        <v>3</v>
      </c>
      <c r="K7" cm="1">
        <f t="array" ref="K7">[6]!BIDPRICE1</f>
        <v>8569</v>
      </c>
      <c r="L7" cm="1">
        <f t="array" ref="L7">[6]!ASKPRICE1</f>
        <v>8573.7999999999993</v>
      </c>
      <c r="M7" cm="1">
        <f t="array" ref="M7">[6]!ASKVOLUME1</f>
        <v>1</v>
      </c>
      <c r="N7" cm="1">
        <f t="array" ref="N7">[6]!OPENPRICE</f>
        <v>8516</v>
      </c>
      <c r="O7" cm="1">
        <f t="array" ref="O7">[6]!HIGH</f>
        <v>8586.7999999999993</v>
      </c>
      <c r="P7" cm="1">
        <f t="array" ref="P7">[6]!LOW</f>
        <v>8450</v>
      </c>
      <c r="Q7" cm="1">
        <f t="array" ref="Q7">[6]!TRADEVOLUME</f>
        <v>108579</v>
      </c>
      <c r="R7" cm="1">
        <f t="array" ref="R7">[6]!POSIVOL</f>
        <v>157070</v>
      </c>
      <c r="S7" t="e" cm="1">
        <f t="array" ref="S7">[6]!POSIVOLCHANGE</f>
        <v>#N/A</v>
      </c>
      <c r="T7" cm="1">
        <f t="array" ref="T7">[6]!POSIVOLCHANGEDAILY</f>
        <v>-10971</v>
      </c>
      <c r="U7" t="str" cm="1">
        <f t="array" ref="U7">[6]!INST_STATE</f>
        <v>连续交易</v>
      </c>
      <c r="V7" t="str" cm="1">
        <f t="array" ref="V7">[6]!UPDATETIME</f>
        <v>22:00:46.500</v>
      </c>
      <c r="W7" cm="1">
        <f t="array" ref="W7">[6]!UPPERLIMITPRICE</f>
        <v>9371.2000000000007</v>
      </c>
      <c r="X7" cm="1">
        <f t="array" ref="X7">[6]!LOWERLIMITPRICE</f>
        <v>7667.6</v>
      </c>
      <c r="Y7" t="e" cm="1">
        <f t="array" ref="Y7">[6]!CLOSEPRICE</f>
        <v>#N/A</v>
      </c>
      <c r="Z7" t="e" cm="1">
        <f t="array" ref="Z7">[6]!SETTLEPRICE</f>
        <v>#N/A</v>
      </c>
      <c r="AA7" cm="1">
        <f t="array" ref="AA7">[6]!PRECLOSE</f>
        <v>8535.2000000000007</v>
      </c>
      <c r="AB7" cm="1">
        <f t="array" ref="AB7">[6]!PRESETTLEPRICE</f>
        <v>8519.4</v>
      </c>
      <c r="AC7" t="s">
        <v>53</v>
      </c>
      <c r="AD7" t="s">
        <v>54</v>
      </c>
      <c r="AE7">
        <v>200</v>
      </c>
      <c r="AF7">
        <v>20260622</v>
      </c>
      <c r="AG7" t="e" cm="1">
        <f t="array" ref="AG7">[6]!MARGIN</f>
        <v>#N/A</v>
      </c>
      <c r="AH7" t="e" cm="1">
        <f t="array" ref="AH7">[6]!FEE</f>
        <v>#N/A</v>
      </c>
      <c r="AJ7" cm="1">
        <f t="array" ref="AJ7">[6]!IMPLYBIDVOLUME1</f>
        <v>0</v>
      </c>
      <c r="AK7" t="e" cm="1">
        <f t="array" ref="AK7">[6]!IMPLYBIDPRICE1</f>
        <v>#N/A</v>
      </c>
      <c r="AL7" t="e" cm="1">
        <f t="array" ref="AL7">[6]!IMPLYASKPRICE1</f>
        <v>#N/A</v>
      </c>
      <c r="AM7" cm="1">
        <f t="array" ref="AM7">[6]!IMPLYASKVOLUME1</f>
        <v>0</v>
      </c>
      <c r="AN7" cm="1">
        <f t="array" ref="AN7">[6]!VOLUMEBIDLOT</f>
        <v>0</v>
      </c>
      <c r="AO7" cm="1">
        <f t="array" ref="AO7">[6]!VOLUMEASKLOT</f>
        <v>0</v>
      </c>
    </row>
    <row r="8" spans="1:41" x14ac:dyDescent="0.25">
      <c r="A8" t="s">
        <v>55</v>
      </c>
      <c r="B8" t="s">
        <v>55</v>
      </c>
      <c r="C8" cm="1">
        <f t="array" ref="C8">[7]!NETVOLUME2200107473</f>
        <v>0</v>
      </c>
      <c r="D8" cm="1">
        <f t="array" ref="D8">[7]!LONGPOSITION2200107473</f>
        <v>0</v>
      </c>
      <c r="E8" cm="1">
        <f t="array" ref="E8">[7]!SHORTPOSITION2200107473</f>
        <v>0</v>
      </c>
      <c r="F8" cm="1">
        <f t="array" ref="F8">[7]!MTMPL2200107473</f>
        <v>0</v>
      </c>
      <c r="G8" cm="1">
        <f t="array" ref="G8">[7]!LASTPRICE</f>
        <v>4798.3999999999996</v>
      </c>
      <c r="H8" cm="1">
        <f t="array" ref="H8">[7]!NETCHANGE</f>
        <v>-3</v>
      </c>
      <c r="I8" t="str" cm="1">
        <f t="array" ref="I8">[7]!NETCHANGERATE</f>
        <v>-0.06%</v>
      </c>
      <c r="J8" cm="1">
        <f t="array" ref="J8">[7]!BIDVOLUME1</f>
        <v>2</v>
      </c>
      <c r="K8" cm="1">
        <f t="array" ref="K8">[7]!BIDPRICE1</f>
        <v>4797.6000000000004</v>
      </c>
      <c r="L8" cm="1">
        <f t="array" ref="L8">[7]!ASKPRICE1</f>
        <v>4798.2</v>
      </c>
      <c r="M8" cm="1">
        <f t="array" ref="M8">[7]!ASKVOLUME1</f>
        <v>1</v>
      </c>
      <c r="N8" cm="1">
        <f t="array" ref="N8">[7]!OPENPRICE</f>
        <v>4790.2</v>
      </c>
      <c r="O8" cm="1">
        <f t="array" ref="O8">[7]!HIGH</f>
        <v>4821.8</v>
      </c>
      <c r="P8" cm="1">
        <f t="array" ref="P8">[7]!LOW</f>
        <v>4771.8</v>
      </c>
      <c r="Q8" cm="1">
        <f t="array" ref="Q8">[7]!TRADEVOLUME</f>
        <v>56131</v>
      </c>
      <c r="R8" cm="1">
        <f t="array" ref="R8">[7]!POSIVOL</f>
        <v>136266</v>
      </c>
      <c r="S8" cm="1">
        <f t="array" ref="S8">[7]!POSIVOLCHANGE</f>
        <v>-1</v>
      </c>
      <c r="T8" cm="1">
        <f t="array" ref="T8">[7]!POSIVOLCHANGEDAILY</f>
        <v>-12386</v>
      </c>
      <c r="U8" t="str" cm="1">
        <f t="array" ref="U8">[7]!INST_STATE</f>
        <v>连续交易</v>
      </c>
      <c r="V8" t="str" cm="1">
        <f t="array" ref="V8">[7]!UPDATETIME</f>
        <v>22:52:40.500</v>
      </c>
      <c r="W8" cm="1">
        <f t="array" ref="W8">[7]!UPPERLIMITPRICE</f>
        <v>5281.4</v>
      </c>
      <c r="X8" cm="1">
        <f t="array" ref="X8">[7]!LOWERLIMITPRICE</f>
        <v>4321.3999999999996</v>
      </c>
      <c r="Y8" t="e" cm="1">
        <f t="array" ref="Y8">[7]!CLOSEPRICE</f>
        <v>#N/A</v>
      </c>
      <c r="Z8" t="e" cm="1">
        <f t="array" ref="Z8">[7]!SETTLEPRICE</f>
        <v>#N/A</v>
      </c>
      <c r="AA8" cm="1">
        <f t="array" ref="AA8">[7]!PRECLOSE</f>
        <v>4813.2</v>
      </c>
      <c r="AB8" cm="1">
        <f t="array" ref="AB8">[7]!PRESETTLEPRICE</f>
        <v>4801.3999999999996</v>
      </c>
      <c r="AC8" t="s">
        <v>53</v>
      </c>
      <c r="AD8" t="s">
        <v>56</v>
      </c>
      <c r="AE8">
        <v>300</v>
      </c>
      <c r="AF8">
        <v>20260622</v>
      </c>
      <c r="AG8" t="e" cm="1">
        <f t="array" ref="AG8">[7]!MARGIN</f>
        <v>#N/A</v>
      </c>
      <c r="AH8" t="e" cm="1">
        <f t="array" ref="AH8">[7]!FEE</f>
        <v>#N/A</v>
      </c>
      <c r="AJ8" cm="1">
        <f t="array" ref="AJ8">[7]!IMPLYBIDVOLUME1</f>
        <v>0</v>
      </c>
      <c r="AK8" t="e" cm="1">
        <f t="array" ref="AK8">[7]!IMPLYBIDPRICE1</f>
        <v>#N/A</v>
      </c>
      <c r="AL8" t="e" cm="1">
        <f t="array" ref="AL8">[7]!IMPLYASKPRICE1</f>
        <v>#N/A</v>
      </c>
      <c r="AM8" cm="1">
        <f t="array" ref="AM8">[7]!IMPLYASKVOLUME1</f>
        <v>0</v>
      </c>
      <c r="AN8" cm="1">
        <f t="array" ref="AN8">[7]!VOLUMEBIDLOT</f>
        <v>0</v>
      </c>
      <c r="AO8" cm="1">
        <f t="array" ref="AO8">[7]!VOLUMEASKLOT</f>
        <v>0</v>
      </c>
    </row>
    <row r="9" spans="1:41" x14ac:dyDescent="0.25">
      <c r="A9" t="s">
        <v>57</v>
      </c>
      <c r="B9" t="s">
        <v>57</v>
      </c>
      <c r="C9" cm="1">
        <f t="array" ref="C9">[8]!NETVOLUME2200107473</f>
        <v>0</v>
      </c>
      <c r="D9" cm="1">
        <f t="array" ref="D9">[8]!LONGPOSITION2200107473</f>
        <v>0</v>
      </c>
      <c r="E9" cm="1">
        <f t="array" ref="E9">[8]!SHORTPOSITION2200107473</f>
        <v>0</v>
      </c>
      <c r="F9" cm="1">
        <f t="array" ref="F9">[8]!MTMPL2200107473</f>
        <v>0</v>
      </c>
      <c r="G9" cm="1">
        <f t="array" ref="G9">[8]!LASTPRICE</f>
        <v>2930</v>
      </c>
      <c r="H9" cm="1">
        <f t="array" ref="H9">[8]!NETCHANGE</f>
        <v>4.5999999999999091</v>
      </c>
      <c r="I9" t="str" cm="1">
        <f t="array" ref="I9">[8]!NETCHANGERATE</f>
        <v>+0.16%</v>
      </c>
      <c r="J9" cm="1">
        <f t="array" ref="J9">[8]!BIDVOLUME1</f>
        <v>2</v>
      </c>
      <c r="K9" cm="1">
        <f t="array" ref="K9">[8]!BIDPRICE1</f>
        <v>2929.8</v>
      </c>
      <c r="L9" cm="1">
        <f t="array" ref="L9">[8]!ASKPRICE1</f>
        <v>2930</v>
      </c>
      <c r="M9" cm="1">
        <f t="array" ref="M9">[8]!ASKVOLUME1</f>
        <v>1</v>
      </c>
      <c r="N9" cm="1">
        <f t="array" ref="N9">[8]!OPENPRICE</f>
        <v>2919</v>
      </c>
      <c r="O9" cm="1">
        <f t="array" ref="O9">[8]!HIGH</f>
        <v>2944</v>
      </c>
      <c r="P9" cm="1">
        <f t="array" ref="P9">[8]!LOW</f>
        <v>2916.8</v>
      </c>
      <c r="Q9" cm="1">
        <f t="array" ref="Q9">[8]!TRADEVOLUME</f>
        <v>28185</v>
      </c>
      <c r="R9" cm="1">
        <f t="array" ref="R9">[8]!POSIVOL</f>
        <v>56193</v>
      </c>
      <c r="S9" cm="1">
        <f t="array" ref="S9">[8]!POSIVOLCHANGE</f>
        <v>0</v>
      </c>
      <c r="T9" cm="1">
        <f t="array" ref="T9">[8]!POSIVOLCHANGEDAILY</f>
        <v>-4845</v>
      </c>
      <c r="U9" t="str" cm="1">
        <f t="array" ref="U9">[8]!INST_STATE</f>
        <v>连续交易</v>
      </c>
      <c r="V9" t="str" cm="1">
        <f t="array" ref="V9">[8]!UPDATETIME</f>
        <v>22:52:40.000</v>
      </c>
      <c r="W9" cm="1">
        <f t="array" ref="W9">[8]!UPPERLIMITPRICE</f>
        <v>3217.8</v>
      </c>
      <c r="X9" cm="1">
        <f t="array" ref="X9">[8]!LOWERLIMITPRICE</f>
        <v>2633</v>
      </c>
      <c r="Y9" t="e" cm="1">
        <f t="array" ref="Y9">[8]!CLOSEPRICE</f>
        <v>#N/A</v>
      </c>
      <c r="Z9" t="e" cm="1">
        <f t="array" ref="Z9">[8]!SETTLEPRICE</f>
        <v>#N/A</v>
      </c>
      <c r="AA9" cm="1">
        <f t="array" ref="AA9">[8]!PRECLOSE</f>
        <v>2931.4</v>
      </c>
      <c r="AB9" cm="1">
        <f t="array" ref="AB9">[8]!PRESETTLEPRICE</f>
        <v>2925.4</v>
      </c>
      <c r="AC9" t="s">
        <v>53</v>
      </c>
      <c r="AD9" t="s">
        <v>58</v>
      </c>
      <c r="AE9">
        <v>300</v>
      </c>
      <c r="AF9">
        <v>20260622</v>
      </c>
      <c r="AG9" t="e" cm="1">
        <f t="array" ref="AG9">[8]!MARGIN</f>
        <v>#N/A</v>
      </c>
      <c r="AH9" t="e" cm="1">
        <f t="array" ref="AH9">[8]!FEE</f>
        <v>#N/A</v>
      </c>
      <c r="AJ9" cm="1">
        <f t="array" ref="AJ9">[8]!IMPLYBIDVOLUME1</f>
        <v>0</v>
      </c>
      <c r="AK9" t="e" cm="1">
        <f t="array" ref="AK9">[8]!IMPLYBIDPRICE1</f>
        <v>#N/A</v>
      </c>
      <c r="AL9" t="e" cm="1">
        <f t="array" ref="AL9">[8]!IMPLYASKPRICE1</f>
        <v>#N/A</v>
      </c>
      <c r="AM9" cm="1">
        <f t="array" ref="AM9">[8]!IMPLYASKVOLUME1</f>
        <v>0</v>
      </c>
      <c r="AN9" cm="1">
        <f t="array" ref="AN9">[8]!VOLUMEBIDLOT</f>
        <v>0</v>
      </c>
      <c r="AO9" cm="1">
        <f t="array" ref="AO9">[8]!VOLUMEASKLOT</f>
        <v>0</v>
      </c>
    </row>
    <row r="10" spans="1:41" x14ac:dyDescent="0.25">
      <c r="A10" t="s">
        <v>59</v>
      </c>
      <c r="B10" t="s">
        <v>59</v>
      </c>
      <c r="C10" cm="1">
        <f t="array" ref="C10">[9]!NETVOLUME2200107473</f>
        <v>0</v>
      </c>
      <c r="D10" cm="1">
        <f t="array" ref="D10">[9]!LONGPOSITION2200107473</f>
        <v>0</v>
      </c>
      <c r="E10" cm="1">
        <f t="array" ref="E10">[9]!SHORTPOSITION2200107473</f>
        <v>0</v>
      </c>
      <c r="F10" cm="1">
        <f t="array" ref="F10">[9]!MTMPL2200107473</f>
        <v>0</v>
      </c>
      <c r="G10" cm="1">
        <f t="array" ref="G10">[9]!LASTPRICE</f>
        <v>8656.6</v>
      </c>
      <c r="H10" cm="1">
        <f t="array" ref="H10">[9]!NETCHANGE</f>
        <v>-35.799999999999272</v>
      </c>
      <c r="I10" t="str" cm="1">
        <f t="array" ref="I10">[9]!NETCHANGERATE</f>
        <v>-0.41%</v>
      </c>
      <c r="J10" cm="1">
        <f t="array" ref="J10">[9]!BIDVOLUME1</f>
        <v>1</v>
      </c>
      <c r="K10" cm="1">
        <f t="array" ref="K10">[9]!BIDPRICE1</f>
        <v>8655.6</v>
      </c>
      <c r="L10" cm="1">
        <f t="array" ref="L10">[9]!ASKPRICE1</f>
        <v>8656</v>
      </c>
      <c r="M10" cm="1">
        <f t="array" ref="M10">[9]!ASKVOLUME1</f>
        <v>1</v>
      </c>
      <c r="N10" cm="1">
        <f t="array" ref="N10">[9]!OPENPRICE</f>
        <v>8692.2000000000007</v>
      </c>
      <c r="O10" cm="1">
        <f t="array" ref="O10">[9]!HIGH</f>
        <v>8702.2000000000007</v>
      </c>
      <c r="P10" cm="1">
        <f t="array" ref="P10">[9]!LOW</f>
        <v>8581</v>
      </c>
      <c r="Q10" cm="1">
        <f t="array" ref="Q10">[9]!TRADEVOLUME</f>
        <v>147893</v>
      </c>
      <c r="R10" cm="1">
        <f t="array" ref="R10">[9]!POSIVOL</f>
        <v>216492</v>
      </c>
      <c r="S10" cm="1">
        <f t="array" ref="S10">[9]!POSIVOLCHANGE</f>
        <v>5</v>
      </c>
      <c r="T10" cm="1">
        <f t="array" ref="T10">[9]!POSIVOLCHANGEDAILY</f>
        <v>-22509</v>
      </c>
      <c r="U10" t="str" cm="1">
        <f t="array" ref="U10">[9]!INST_STATE</f>
        <v>连续交易</v>
      </c>
      <c r="V10" t="str" cm="1">
        <f t="array" ref="V10">[9]!UPDATETIME</f>
        <v>22:52:40.500</v>
      </c>
      <c r="W10" cm="1">
        <f t="array" ref="W10">[9]!UPPERLIMITPRICE</f>
        <v>9561.6</v>
      </c>
      <c r="X10" cm="1">
        <f t="array" ref="X10">[9]!LOWERLIMITPRICE</f>
        <v>7823.2</v>
      </c>
      <c r="Y10" t="e" cm="1">
        <f t="array" ref="Y10">[9]!CLOSEPRICE</f>
        <v>#N/A</v>
      </c>
      <c r="Z10" t="e" cm="1">
        <f t="array" ref="Z10">[9]!SETTLEPRICE</f>
        <v>#N/A</v>
      </c>
      <c r="AA10" cm="1">
        <f t="array" ref="AA10">[9]!PRECLOSE</f>
        <v>8718.6</v>
      </c>
      <c r="AB10" cm="1">
        <f t="array" ref="AB10">[9]!PRESETTLEPRICE</f>
        <v>8692.4</v>
      </c>
      <c r="AC10" t="s">
        <v>53</v>
      </c>
      <c r="AD10" t="s">
        <v>60</v>
      </c>
      <c r="AE10">
        <v>200</v>
      </c>
      <c r="AF10">
        <v>20260622</v>
      </c>
      <c r="AG10" t="e" cm="1">
        <f t="array" ref="AG10">[9]!MARGIN</f>
        <v>#N/A</v>
      </c>
      <c r="AH10" t="e" cm="1">
        <f t="array" ref="AH10">[9]!FEE</f>
        <v>#N/A</v>
      </c>
      <c r="AJ10" cm="1">
        <f t="array" ref="AJ10">[9]!IMPLYBIDVOLUME1</f>
        <v>0</v>
      </c>
      <c r="AK10" t="e" cm="1">
        <f t="array" ref="AK10">[9]!IMPLYBIDPRICE1</f>
        <v>#N/A</v>
      </c>
      <c r="AL10" t="e" cm="1">
        <f t="array" ref="AL10">[9]!IMPLYASKPRICE1</f>
        <v>#N/A</v>
      </c>
      <c r="AM10" cm="1">
        <f t="array" ref="AM10">[9]!IMPLYASKVOLUME1</f>
        <v>0</v>
      </c>
      <c r="AN10" cm="1">
        <f t="array" ref="AN10">[9]!VOLUMEBIDLOT</f>
        <v>0</v>
      </c>
      <c r="AO10" cm="1">
        <f t="array" ref="AO10">[9]!VOLUMEASKLOT</f>
        <v>0</v>
      </c>
    </row>
    <row r="11" spans="1:41" x14ac:dyDescent="0.25">
      <c r="A11" t="s">
        <v>61</v>
      </c>
      <c r="B11" t="s">
        <v>61</v>
      </c>
      <c r="C11" cm="1">
        <f t="array" ref="C11">[10]!NETVOLUME2200107473</f>
        <v>0</v>
      </c>
      <c r="D11" cm="1">
        <f t="array" ref="D11">[10]!LONGPOSITION2200107473</f>
        <v>0</v>
      </c>
      <c r="E11" cm="1">
        <f t="array" ref="E11">[10]!SHORTPOSITION2200107473</f>
        <v>0</v>
      </c>
      <c r="F11" cm="1">
        <f t="array" ref="F11">[10]!MTMPL2200107473</f>
        <v>0</v>
      </c>
      <c r="G11" cm="1">
        <f t="array" ref="G11">[10]!LASTPRICE</f>
        <v>2662</v>
      </c>
      <c r="H11" t="e" cm="1">
        <f t="array" ref="H11">[10]!NETCHANGE</f>
        <v>#N/A</v>
      </c>
      <c r="I11" t="e" cm="1">
        <f t="array" ref="I11">[10]!NETCHANGERATE</f>
        <v>#N/A</v>
      </c>
      <c r="J11" cm="1">
        <f t="array" ref="J11">[10]!BIDVOLUME1</f>
        <v>0</v>
      </c>
      <c r="K11" t="e" cm="1">
        <f t="array" ref="K11">[10]!BIDPRICE1</f>
        <v>#N/A</v>
      </c>
      <c r="L11" t="e" cm="1">
        <f t="array" ref="L11">[10]!ASKPRICE1</f>
        <v>#N/A</v>
      </c>
      <c r="M11" cm="1">
        <f t="array" ref="M11">[10]!ASKVOLUME1</f>
        <v>0</v>
      </c>
      <c r="N11" t="e" cm="1">
        <f t="array" ref="N11">[10]!OPENPRICE</f>
        <v>#N/A</v>
      </c>
      <c r="O11" t="e" cm="1">
        <f t="array" ref="O11">[10]!HIGH</f>
        <v>#N/A</v>
      </c>
      <c r="P11" t="e" cm="1">
        <f t="array" ref="P11">[10]!LOW</f>
        <v>#N/A</v>
      </c>
      <c r="Q11" cm="1">
        <f t="array" ref="Q11">[10]!TRADEVOLUME</f>
        <v>0</v>
      </c>
      <c r="R11" cm="1">
        <f t="array" ref="R11">[10]!POSIVOL</f>
        <v>0</v>
      </c>
      <c r="S11" t="e" cm="1">
        <f t="array" ref="S11">[10]!POSIVOLCHANGE</f>
        <v>#N/A</v>
      </c>
      <c r="T11" cm="1">
        <f t="array" ref="T11">[10]!POSIVOLCHANGEDAILY</f>
        <v>0</v>
      </c>
      <c r="U11" t="e" cm="1">
        <f t="array" ref="U11">[10]!INST_STATE</f>
        <v>#N/A</v>
      </c>
      <c r="V11" t="str" cm="1">
        <f t="array" ref="V11">[10]!UPDATETIME</f>
        <v>22:00:46.500</v>
      </c>
      <c r="W11" cm="1">
        <f t="array" ref="W11">[10]!UPPERLIMITPRICE</f>
        <v>3035</v>
      </c>
      <c r="X11" cm="1">
        <f t="array" ref="X11">[10]!LOWERLIMITPRICE</f>
        <v>2289</v>
      </c>
      <c r="Y11" t="e" cm="1">
        <f t="array" ref="Y11">[10]!CLOSEPRICE</f>
        <v>#N/A</v>
      </c>
      <c r="Z11" cm="1">
        <f t="array" ref="Z11">[10]!SETTLEPRICE</f>
        <v>2662</v>
      </c>
      <c r="AA11" t="e" cm="1">
        <f t="array" ref="AA11">[10]!PRECLOSE</f>
        <v>#N/A</v>
      </c>
      <c r="AB11" cm="1">
        <f t="array" ref="AB11">[10]!PRESETTLEPRICE</f>
        <v>2662</v>
      </c>
      <c r="AC11" t="s">
        <v>42</v>
      </c>
      <c r="AD11" t="s">
        <v>62</v>
      </c>
      <c r="AE11">
        <v>20</v>
      </c>
      <c r="AF11">
        <v>20270514</v>
      </c>
      <c r="AG11" t="e" cm="1">
        <f t="array" ref="AG11">[10]!MARGIN</f>
        <v>#N/A</v>
      </c>
      <c r="AH11" t="e" cm="1">
        <f t="array" ref="AH11">[10]!FEE</f>
        <v>#N/A</v>
      </c>
      <c r="AJ11" cm="1">
        <f t="array" ref="AJ11">[10]!IMPLYBIDVOLUME1</f>
        <v>0</v>
      </c>
      <c r="AK11" t="e" cm="1">
        <f t="array" ref="AK11">[10]!IMPLYBIDPRICE1</f>
        <v>#N/A</v>
      </c>
      <c r="AL11" t="e" cm="1">
        <f t="array" ref="AL11">[10]!IMPLYASKPRICE1</f>
        <v>#N/A</v>
      </c>
      <c r="AM11" cm="1">
        <f t="array" ref="AM11">[10]!IMPLYASKVOLUME1</f>
        <v>0</v>
      </c>
      <c r="AN11" cm="1">
        <f t="array" ref="AN11">[10]!VOLUMEBIDLOT</f>
        <v>0</v>
      </c>
      <c r="AO11" cm="1">
        <f t="array" ref="AO11">[10]!VOLUMEASKLOT</f>
        <v>0</v>
      </c>
    </row>
    <row r="12" spans="1:41" x14ac:dyDescent="0.25">
      <c r="A12" t="s">
        <v>63</v>
      </c>
      <c r="B12" t="s">
        <v>63</v>
      </c>
      <c r="C12" cm="1">
        <f t="array" ref="C12">[11]!NETVOLUME2200107473</f>
        <v>0</v>
      </c>
      <c r="D12" cm="1">
        <f t="array" ref="D12">[11]!LONGPOSITION2200107473</f>
        <v>0</v>
      </c>
      <c r="E12" cm="1">
        <f t="array" ref="E12">[11]!SHORTPOSITION2200107473</f>
        <v>0</v>
      </c>
      <c r="F12" cm="1">
        <f t="array" ref="F12">[11]!MTMPL2200107473</f>
        <v>0</v>
      </c>
      <c r="G12" cm="1">
        <f t="array" ref="G12">[11]!LASTPRICE</f>
        <v>2982</v>
      </c>
      <c r="H12" cm="1">
        <f t="array" ref="H12">[11]!NETCHANGE</f>
        <v>40</v>
      </c>
      <c r="I12" t="str" cm="1">
        <f t="array" ref="I12">[11]!NETCHANGERATE</f>
        <v>+1.36%</v>
      </c>
      <c r="J12" cm="1">
        <f t="array" ref="J12">[11]!BIDVOLUME1</f>
        <v>250</v>
      </c>
      <c r="K12" cm="1">
        <f t="array" ref="K12">[11]!BIDPRICE1</f>
        <v>2981</v>
      </c>
      <c r="L12" cm="1">
        <f t="array" ref="L12">[11]!ASKPRICE1</f>
        <v>2982</v>
      </c>
      <c r="M12" cm="1">
        <f t="array" ref="M12">[11]!ASKVOLUME1</f>
        <v>31</v>
      </c>
      <c r="N12" cm="1">
        <f t="array" ref="N12">[11]!OPENPRICE</f>
        <v>2966</v>
      </c>
      <c r="O12" cm="1">
        <f t="array" ref="O12">[11]!HIGH</f>
        <v>2997</v>
      </c>
      <c r="P12" cm="1">
        <f t="array" ref="P12">[11]!LOW</f>
        <v>2960</v>
      </c>
      <c r="Q12" cm="1">
        <f t="array" ref="Q12">[11]!TRADEVOLUME</f>
        <v>519898</v>
      </c>
      <c r="R12" cm="1">
        <f t="array" ref="R12">[11]!POSIVOL</f>
        <v>721224</v>
      </c>
      <c r="S12" cm="1">
        <f t="array" ref="S12">[11]!POSIVOLCHANGE</f>
        <v>-2</v>
      </c>
      <c r="T12" cm="1">
        <f t="array" ref="T12">[11]!POSIVOLCHANGEDAILY</f>
        <v>11172</v>
      </c>
      <c r="U12" t="str" cm="1">
        <f t="array" ref="U12">[11]!INST_STATE</f>
        <v>连续交易</v>
      </c>
      <c r="V12" t="str" cm="1">
        <f t="array" ref="V12">[11]!UPDATETIME</f>
        <v>22:52:40.000</v>
      </c>
      <c r="W12" cm="1">
        <f t="array" ref="W12">[11]!UPPERLIMITPRICE</f>
        <v>3266</v>
      </c>
      <c r="X12" cm="1">
        <f t="array" ref="X12">[11]!LOWERLIMITPRICE</f>
        <v>2618</v>
      </c>
      <c r="Y12" t="e" cm="1">
        <f t="array" ref="Y12">[11]!CLOSEPRICE</f>
        <v>#N/A</v>
      </c>
      <c r="Z12" cm="1">
        <f t="array" ref="Z12">[11]!SETTLEPRICE</f>
        <v>2980</v>
      </c>
      <c r="AA12" cm="1">
        <f t="array" ref="AA12">[11]!PRECLOSE</f>
        <v>2963</v>
      </c>
      <c r="AB12" cm="1">
        <f t="array" ref="AB12">[11]!PRESETTLEPRICE</f>
        <v>2942</v>
      </c>
      <c r="AC12" t="s">
        <v>42</v>
      </c>
      <c r="AD12" t="s">
        <v>64</v>
      </c>
      <c r="AE12">
        <v>10</v>
      </c>
      <c r="AF12">
        <v>20260914</v>
      </c>
      <c r="AG12" t="e" cm="1">
        <f t="array" ref="AG12">[11]!MARGIN</f>
        <v>#N/A</v>
      </c>
      <c r="AH12" t="e" cm="1">
        <f t="array" ref="AH12">[11]!FEE</f>
        <v>#N/A</v>
      </c>
      <c r="AJ12" cm="1">
        <f t="array" ref="AJ12">[11]!IMPLYBIDVOLUME1</f>
        <v>0</v>
      </c>
      <c r="AK12" t="e" cm="1">
        <f t="array" ref="AK12">[11]!IMPLYBIDPRICE1</f>
        <v>#N/A</v>
      </c>
      <c r="AL12" t="e" cm="1">
        <f t="array" ref="AL12">[11]!IMPLYASKPRICE1</f>
        <v>#N/A</v>
      </c>
      <c r="AM12" cm="1">
        <f t="array" ref="AM12">[11]!IMPLYASKVOLUME1</f>
        <v>0</v>
      </c>
      <c r="AN12" cm="1">
        <f t="array" ref="AN12">[11]!VOLUMEBIDLOT</f>
        <v>0</v>
      </c>
      <c r="AO12" cm="1">
        <f t="array" ref="AO12">[11]!VOLUMEASKLOT</f>
        <v>0</v>
      </c>
    </row>
    <row r="13" spans="1:41" x14ac:dyDescent="0.25">
      <c r="A13" t="s">
        <v>65</v>
      </c>
      <c r="B13" t="s">
        <v>65</v>
      </c>
      <c r="C13" cm="1">
        <f t="array" ref="C13">[12]!NETVOLUME2200107473</f>
        <v>0</v>
      </c>
      <c r="D13" cm="1">
        <f t="array" ref="D13">[12]!LONGPOSITION2200107473</f>
        <v>0</v>
      </c>
      <c r="E13" cm="1">
        <f t="array" ref="E13">[12]!SHORTPOSITION2200107473</f>
        <v>0</v>
      </c>
      <c r="F13" cm="1">
        <f t="array" ref="F13">[12]!MTMPL2200107473</f>
        <v>0</v>
      </c>
      <c r="G13" cm="1">
        <f t="array" ref="G13">[12]!LASTPRICE</f>
        <v>9870</v>
      </c>
      <c r="H13" cm="1">
        <f t="array" ref="H13">[12]!NETCHANGE</f>
        <v>228</v>
      </c>
      <c r="I13" t="str" cm="1">
        <f t="array" ref="I13">[12]!NETCHANGERATE</f>
        <v>+2.36%</v>
      </c>
      <c r="J13" cm="1">
        <f t="array" ref="J13">[12]!BIDVOLUME1</f>
        <v>30</v>
      </c>
      <c r="K13" cm="1">
        <f t="array" ref="K13">[12]!BIDPRICE1</f>
        <v>9869</v>
      </c>
      <c r="L13" cm="1">
        <f t="array" ref="L13">[12]!ASKPRICE1</f>
        <v>9871</v>
      </c>
      <c r="M13" cm="1">
        <f t="array" ref="M13">[12]!ASKVOLUME1</f>
        <v>10</v>
      </c>
      <c r="N13" cm="1">
        <f t="array" ref="N13">[12]!OPENPRICE</f>
        <v>9777</v>
      </c>
      <c r="O13" cm="1">
        <f t="array" ref="O13">[12]!HIGH</f>
        <v>9876</v>
      </c>
      <c r="P13" cm="1">
        <f t="array" ref="P13">[12]!LOW</f>
        <v>9745</v>
      </c>
      <c r="Q13" cm="1">
        <f t="array" ref="Q13">[12]!TRADEVOLUME</f>
        <v>259935</v>
      </c>
      <c r="R13" cm="1">
        <f t="array" ref="R13">[12]!POSIVOL</f>
        <v>261735</v>
      </c>
      <c r="S13" cm="1">
        <f t="array" ref="S13">[12]!POSIVOLCHANGE</f>
        <v>0</v>
      </c>
      <c r="T13" cm="1">
        <f t="array" ref="T13">[12]!POSIVOLCHANGEDAILY</f>
        <v>11455</v>
      </c>
      <c r="U13" t="str" cm="1">
        <f t="array" ref="U13">[12]!INST_STATE</f>
        <v>连续交易</v>
      </c>
      <c r="V13" t="str" cm="1">
        <f t="array" ref="V13">[12]!UPDATETIME</f>
        <v>22:52:40.000</v>
      </c>
      <c r="W13" cm="1">
        <f t="array" ref="W13">[12]!UPPERLIMITPRICE</f>
        <v>10221</v>
      </c>
      <c r="X13" cm="1">
        <f t="array" ref="X13">[12]!LOWERLIMITPRICE</f>
        <v>9063</v>
      </c>
      <c r="Y13" t="e" cm="1">
        <f t="array" ref="Y13">[12]!CLOSEPRICE</f>
        <v>#N/A</v>
      </c>
      <c r="Z13" cm="1">
        <f t="array" ref="Z13">[12]!SETTLEPRICE</f>
        <v>9774</v>
      </c>
      <c r="AA13" cm="1">
        <f t="array" ref="AA13">[12]!PRECLOSE</f>
        <v>9789</v>
      </c>
      <c r="AB13" cm="1">
        <f t="array" ref="AB13">[12]!PRESETTLEPRICE</f>
        <v>9642</v>
      </c>
      <c r="AC13" t="s">
        <v>42</v>
      </c>
      <c r="AD13" t="s">
        <v>66</v>
      </c>
      <c r="AE13">
        <v>10</v>
      </c>
      <c r="AF13">
        <v>20260914</v>
      </c>
      <c r="AG13" t="e" cm="1">
        <f t="array" ref="AG13">[12]!MARGIN</f>
        <v>#N/A</v>
      </c>
      <c r="AH13" t="e" cm="1">
        <f t="array" ref="AH13">[12]!FEE</f>
        <v>#N/A</v>
      </c>
      <c r="AJ13" cm="1">
        <f t="array" ref="AJ13">[12]!IMPLYBIDVOLUME1</f>
        <v>0</v>
      </c>
      <c r="AK13" t="e" cm="1">
        <f t="array" ref="AK13">[12]!IMPLYBIDPRICE1</f>
        <v>#N/A</v>
      </c>
      <c r="AL13" t="e" cm="1">
        <f t="array" ref="AL13">[12]!IMPLYASKPRICE1</f>
        <v>#N/A</v>
      </c>
      <c r="AM13" cm="1">
        <f t="array" ref="AM13">[12]!IMPLYASKVOLUME1</f>
        <v>0</v>
      </c>
      <c r="AN13" cm="1">
        <f t="array" ref="AN13">[12]!VOLUMEBIDLOT</f>
        <v>0</v>
      </c>
      <c r="AO13" cm="1">
        <f t="array" ref="AO13">[12]!VOLUMEASKLOT</f>
        <v>0</v>
      </c>
    </row>
    <row r="14" spans="1:41" x14ac:dyDescent="0.25">
      <c r="A14" t="s">
        <v>67</v>
      </c>
      <c r="B14" t="s">
        <v>67</v>
      </c>
      <c r="C14" cm="1">
        <f t="array" ref="C14">[13]!NETVOLUME2200107473</f>
        <v>0</v>
      </c>
      <c r="D14" cm="1">
        <f t="array" ref="D14">[13]!LONGPOSITION2200107473</f>
        <v>0</v>
      </c>
      <c r="E14" cm="1">
        <f t="array" ref="E14">[13]!SHORTPOSITION2200107473</f>
        <v>0</v>
      </c>
      <c r="F14" cm="1">
        <f t="array" ref="F14">[13]!MTMPL2200107473</f>
        <v>0</v>
      </c>
      <c r="G14" cm="1">
        <f t="array" ref="G14">[13]!LASTPRICE</f>
        <v>7982</v>
      </c>
      <c r="H14" cm="1">
        <f t="array" ref="H14">[13]!NETCHANGE</f>
        <v>-28</v>
      </c>
      <c r="I14" t="str" cm="1">
        <f t="array" ref="I14">[13]!NETCHANGERATE</f>
        <v>-0.35%</v>
      </c>
      <c r="J14" cm="1">
        <f t="array" ref="J14">[13]!BIDVOLUME1</f>
        <v>11</v>
      </c>
      <c r="K14" cm="1">
        <f t="array" ref="K14">[13]!BIDPRICE1</f>
        <v>7982</v>
      </c>
      <c r="L14" cm="1">
        <f t="array" ref="L14">[13]!ASKPRICE1</f>
        <v>7984</v>
      </c>
      <c r="M14" cm="1">
        <f t="array" ref="M14">[13]!ASKVOLUME1</f>
        <v>60</v>
      </c>
      <c r="N14" cm="1">
        <f t="array" ref="N14">[13]!OPENPRICE</f>
        <v>8032</v>
      </c>
      <c r="O14" cm="1">
        <f t="array" ref="O14">[13]!HIGH</f>
        <v>8050</v>
      </c>
      <c r="P14" cm="1">
        <f t="array" ref="P14">[13]!LOW</f>
        <v>7946</v>
      </c>
      <c r="Q14" cm="1">
        <f t="array" ref="Q14">[13]!TRADEVOLUME</f>
        <v>175178</v>
      </c>
      <c r="R14" cm="1">
        <f t="array" ref="R14">[13]!POSIVOL</f>
        <v>186891</v>
      </c>
      <c r="S14" cm="1">
        <f t="array" ref="S14">[13]!POSIVOLCHANGE</f>
        <v>0</v>
      </c>
      <c r="T14" cm="1">
        <f t="array" ref="T14">[13]!POSIVOLCHANGEDAILY</f>
        <v>8549</v>
      </c>
      <c r="U14" t="str" cm="1">
        <f t="array" ref="U14">[13]!INST_STATE</f>
        <v>连续交易</v>
      </c>
      <c r="V14" t="str" cm="1">
        <f t="array" ref="V14">[13]!UPDATETIME</f>
        <v>22:52:40.000</v>
      </c>
      <c r="W14" cm="1">
        <f t="array" ref="W14">[13]!UPPERLIMITPRICE</f>
        <v>8892</v>
      </c>
      <c r="X14" cm="1">
        <f t="array" ref="X14">[13]!LOWERLIMITPRICE</f>
        <v>7128</v>
      </c>
      <c r="Y14" t="e" cm="1">
        <f t="array" ref="Y14">[13]!CLOSEPRICE</f>
        <v>#N/A</v>
      </c>
      <c r="Z14" cm="1">
        <f t="array" ref="Z14">[13]!SETTLEPRICE</f>
        <v>7996</v>
      </c>
      <c r="AA14" cm="1">
        <f t="array" ref="AA14">[13]!PRECLOSE</f>
        <v>8032</v>
      </c>
      <c r="AB14" cm="1">
        <f t="array" ref="AB14">[13]!PRESETTLEPRICE</f>
        <v>8010</v>
      </c>
      <c r="AC14" t="s">
        <v>42</v>
      </c>
      <c r="AD14" t="s">
        <v>68</v>
      </c>
      <c r="AE14">
        <v>5</v>
      </c>
      <c r="AF14">
        <v>20260714</v>
      </c>
      <c r="AG14" t="e" cm="1">
        <f t="array" ref="AG14">[13]!MARGIN</f>
        <v>#N/A</v>
      </c>
      <c r="AH14" t="e" cm="1">
        <f t="array" ref="AH14">[13]!FEE</f>
        <v>#N/A</v>
      </c>
      <c r="AJ14" cm="1">
        <f t="array" ref="AJ14">[13]!IMPLYBIDVOLUME1</f>
        <v>0</v>
      </c>
      <c r="AK14" t="e" cm="1">
        <f t="array" ref="AK14">[13]!IMPLYBIDPRICE1</f>
        <v>#N/A</v>
      </c>
      <c r="AL14" t="e" cm="1">
        <f t="array" ref="AL14">[13]!IMPLYASKPRICE1</f>
        <v>#N/A</v>
      </c>
      <c r="AM14" cm="1">
        <f t="array" ref="AM14">[13]!IMPLYASKVOLUME1</f>
        <v>0</v>
      </c>
      <c r="AN14" cm="1">
        <f t="array" ref="AN14">[13]!VOLUMEBIDLOT</f>
        <v>0</v>
      </c>
      <c r="AO14" cm="1">
        <f t="array" ref="AO14">[13]!VOLUMEASKLOT</f>
        <v>0</v>
      </c>
    </row>
    <row r="15" spans="1:41" x14ac:dyDescent="0.25">
      <c r="A15" t="s">
        <v>69</v>
      </c>
      <c r="B15" t="s">
        <v>69</v>
      </c>
      <c r="C15" cm="1">
        <f t="array" ref="C15">[14]!NETVOLUME2200107473</f>
        <v>0</v>
      </c>
      <c r="D15" cm="1">
        <f t="array" ref="D15">[14]!LONGPOSITION2200107473</f>
        <v>0</v>
      </c>
      <c r="E15" cm="1">
        <f t="array" ref="E15">[14]!SHORTPOSITION2200107473</f>
        <v>0</v>
      </c>
      <c r="F15" cm="1">
        <f t="array" ref="F15">[14]!MTMPL2200107473</f>
        <v>0</v>
      </c>
      <c r="G15" cm="1">
        <f t="array" ref="G15">[14]!LASTPRICE</f>
        <v>8204</v>
      </c>
      <c r="H15" cm="1">
        <f t="array" ref="H15">[14]!NETCHANGE</f>
        <v>34</v>
      </c>
      <c r="I15" t="str" cm="1">
        <f t="array" ref="I15">[14]!NETCHANGERATE</f>
        <v>+0.42%</v>
      </c>
      <c r="J15" cm="1">
        <f t="array" ref="J15">[14]!BIDVOLUME1</f>
        <v>71</v>
      </c>
      <c r="K15" cm="1">
        <f t="array" ref="K15">[14]!BIDPRICE1</f>
        <v>8204</v>
      </c>
      <c r="L15" cm="1">
        <f t="array" ref="L15">[14]!ASKPRICE1</f>
        <v>8206</v>
      </c>
      <c r="M15" cm="1">
        <f t="array" ref="M15">[14]!ASKVOLUME1</f>
        <v>294</v>
      </c>
      <c r="N15" cm="1">
        <f t="array" ref="N15">[14]!OPENPRICE</f>
        <v>8218</v>
      </c>
      <c r="O15" cm="1">
        <f t="array" ref="O15">[14]!HIGH</f>
        <v>8236</v>
      </c>
      <c r="P15" cm="1">
        <f t="array" ref="P15">[14]!LOW</f>
        <v>8194</v>
      </c>
      <c r="Q15" cm="1">
        <f t="array" ref="Q15">[14]!TRADEVOLUME</f>
        <v>63338</v>
      </c>
      <c r="R15" cm="1">
        <f t="array" ref="R15">[14]!POSIVOL</f>
        <v>262583</v>
      </c>
      <c r="S15" cm="1">
        <f t="array" ref="S15">[14]!POSIVOLCHANGE</f>
        <v>1</v>
      </c>
      <c r="T15" cm="1">
        <f t="array" ref="T15">[14]!POSIVOLCHANGEDAILY</f>
        <v>2415</v>
      </c>
      <c r="U15" t="str" cm="1">
        <f t="array" ref="U15">[14]!INST_STATE</f>
        <v>连续交易</v>
      </c>
      <c r="V15" t="str" cm="1">
        <f t="array" ref="V15">[14]!UPDATETIME</f>
        <v>22:52:35.000</v>
      </c>
      <c r="W15" cm="1">
        <f t="array" ref="W15">[14]!UPPERLIMITPRICE</f>
        <v>8662</v>
      </c>
      <c r="X15" cm="1">
        <f t="array" ref="X15">[14]!LOWERLIMITPRICE</f>
        <v>7678</v>
      </c>
      <c r="Y15" t="e" cm="1">
        <f t="array" ref="Y15">[14]!CLOSEPRICE</f>
        <v>#N/A</v>
      </c>
      <c r="Z15" t="e" cm="1">
        <f t="array" ref="Z15">[14]!SETTLEPRICE</f>
        <v>#N/A</v>
      </c>
      <c r="AA15" cm="1">
        <f t="array" ref="AA15">[14]!PRECLOSE</f>
        <v>8204</v>
      </c>
      <c r="AB15" cm="1">
        <f t="array" ref="AB15">[14]!PRESETTLEPRICE</f>
        <v>8170</v>
      </c>
      <c r="AC15" t="s">
        <v>42</v>
      </c>
      <c r="AD15" t="s">
        <v>70</v>
      </c>
      <c r="AE15">
        <v>5</v>
      </c>
      <c r="AF15">
        <v>20261021</v>
      </c>
      <c r="AG15" t="e" cm="1">
        <f t="array" ref="AG15">[14]!MARGIN</f>
        <v>#N/A</v>
      </c>
      <c r="AH15" t="e" cm="1">
        <f t="array" ref="AH15">[14]!FEE</f>
        <v>#N/A</v>
      </c>
      <c r="AJ15" cm="1">
        <f t="array" ref="AJ15">[14]!IMPLYBIDVOLUME1</f>
        <v>0</v>
      </c>
      <c r="AK15" t="e" cm="1">
        <f t="array" ref="AK15">[14]!IMPLYBIDPRICE1</f>
        <v>#N/A</v>
      </c>
      <c r="AL15" t="e" cm="1">
        <f t="array" ref="AL15">[14]!IMPLYASKPRICE1</f>
        <v>#N/A</v>
      </c>
      <c r="AM15" cm="1">
        <f t="array" ref="AM15">[14]!IMPLYASKVOLUME1</f>
        <v>0</v>
      </c>
      <c r="AN15" cm="1">
        <f t="array" ref="AN15">[14]!VOLUMEBIDLOT</f>
        <v>0</v>
      </c>
      <c r="AO15" cm="1">
        <f t="array" ref="AO15">[14]!VOLUMEASKLOT</f>
        <v>0</v>
      </c>
    </row>
    <row r="16" spans="1:41" x14ac:dyDescent="0.25">
      <c r="A16" t="s">
        <v>71</v>
      </c>
      <c r="B16" t="s">
        <v>71</v>
      </c>
      <c r="C16" cm="1">
        <f t="array" ref="C16">[15]!NETVOLUME2200107473</f>
        <v>0</v>
      </c>
      <c r="D16" cm="1">
        <f t="array" ref="D16">[15]!LONGPOSITION2200107473</f>
        <v>0</v>
      </c>
      <c r="E16" cm="1">
        <f t="array" ref="E16">[15]!SHORTPOSITION2200107473</f>
        <v>0</v>
      </c>
      <c r="F16" cm="1">
        <f t="array" ref="F16">[15]!MTMPL2200107473</f>
        <v>0</v>
      </c>
      <c r="G16" cm="1">
        <f t="array" ref="G16">[15]!LASTPRICE</f>
        <v>8739</v>
      </c>
      <c r="H16" cm="1">
        <f t="array" ref="H16">[15]!NETCHANGE</f>
        <v>96</v>
      </c>
      <c r="I16" t="str" cm="1">
        <f t="array" ref="I16">[15]!NETCHANGERATE</f>
        <v>+1.11%</v>
      </c>
      <c r="J16" cm="1">
        <f t="array" ref="J16">[15]!BIDVOLUME1</f>
        <v>2</v>
      </c>
      <c r="K16" cm="1">
        <f t="array" ref="K16">[15]!BIDPRICE1</f>
        <v>8737</v>
      </c>
      <c r="L16" cm="1">
        <f t="array" ref="L16">[15]!ASKPRICE1</f>
        <v>8741</v>
      </c>
      <c r="M16" cm="1">
        <f t="array" ref="M16">[15]!ASKVOLUME1</f>
        <v>1</v>
      </c>
      <c r="N16" cm="1">
        <f t="array" ref="N16">[15]!OPENPRICE</f>
        <v>8731</v>
      </c>
      <c r="O16" cm="1">
        <f t="array" ref="O16">[15]!HIGH</f>
        <v>8873</v>
      </c>
      <c r="P16" cm="1">
        <f t="array" ref="P16">[15]!LOW</f>
        <v>8693</v>
      </c>
      <c r="Q16" cm="1">
        <f t="array" ref="Q16">[15]!TRADEVOLUME</f>
        <v>24073</v>
      </c>
      <c r="R16" cm="1">
        <f t="array" ref="R16">[15]!POSIVOL</f>
        <v>13865</v>
      </c>
      <c r="S16" cm="1">
        <f t="array" ref="S16">[15]!POSIVOLCHANGE</f>
        <v>0</v>
      </c>
      <c r="T16" cm="1">
        <f t="array" ref="T16">[15]!POSIVOLCHANGEDAILY</f>
        <v>1092</v>
      </c>
      <c r="U16" t="str" cm="1">
        <f t="array" ref="U16">[15]!INST_STATE</f>
        <v>连续交易</v>
      </c>
      <c r="V16" t="str" cm="1">
        <f t="array" ref="V16">[15]!UPDATETIME</f>
        <v>22:52:40.000</v>
      </c>
      <c r="W16" cm="1">
        <f t="array" ref="W16">[15]!UPPERLIMITPRICE</f>
        <v>9421</v>
      </c>
      <c r="X16" cm="1">
        <f t="array" ref="X16">[15]!LOWERLIMITPRICE</f>
        <v>7865</v>
      </c>
      <c r="Y16" t="e" cm="1">
        <f t="array" ref="Y16">[15]!CLOSEPRICE</f>
        <v>#N/A</v>
      </c>
      <c r="Z16" cm="1">
        <f t="array" ref="Z16">[15]!SETTLEPRICE</f>
        <v>8804</v>
      </c>
      <c r="AA16" cm="1">
        <f t="array" ref="AA16">[15]!PRECLOSE</f>
        <v>8739</v>
      </c>
      <c r="AB16" cm="1">
        <f t="array" ref="AB16">[15]!PRESETTLEPRICE</f>
        <v>8643</v>
      </c>
      <c r="AC16" t="s">
        <v>42</v>
      </c>
      <c r="AD16" t="s">
        <v>72</v>
      </c>
      <c r="AE16">
        <v>20</v>
      </c>
      <c r="AF16">
        <v>20260714</v>
      </c>
      <c r="AG16" t="e" cm="1">
        <f t="array" ref="AG16">[15]!MARGIN</f>
        <v>#N/A</v>
      </c>
      <c r="AH16" t="e" cm="1">
        <f t="array" ref="AH16">[15]!FEE</f>
        <v>#N/A</v>
      </c>
      <c r="AJ16" cm="1">
        <f t="array" ref="AJ16">[15]!IMPLYBIDVOLUME1</f>
        <v>0</v>
      </c>
      <c r="AK16" t="e" cm="1">
        <f t="array" ref="AK16">[15]!IMPLYBIDPRICE1</f>
        <v>#N/A</v>
      </c>
      <c r="AL16" t="e" cm="1">
        <f t="array" ref="AL16">[15]!IMPLYASKPRICE1</f>
        <v>#N/A</v>
      </c>
      <c r="AM16" cm="1">
        <f t="array" ref="AM16">[15]!IMPLYASKVOLUME1</f>
        <v>0</v>
      </c>
      <c r="AN16" cm="1">
        <f t="array" ref="AN16">[15]!VOLUMEBIDLOT</f>
        <v>0</v>
      </c>
      <c r="AO16" cm="1">
        <f t="array" ref="AO16">[15]!VOLUMEASKLOT</f>
        <v>0</v>
      </c>
    </row>
    <row r="17" spans="1:41" x14ac:dyDescent="0.25">
      <c r="A17" t="s">
        <v>73</v>
      </c>
      <c r="B17" t="s">
        <v>73</v>
      </c>
      <c r="C17" cm="1">
        <f t="array" ref="C17">[16]!NETVOLUME2200107473</f>
        <v>0</v>
      </c>
      <c r="D17" cm="1">
        <f t="array" ref="D17">[16]!LONGPOSITION2200107473</f>
        <v>0</v>
      </c>
      <c r="E17" cm="1">
        <f t="array" ref="E17">[16]!SHORTPOSITION2200107473</f>
        <v>0</v>
      </c>
      <c r="F17" cm="1">
        <f t="array" ref="F17">[16]!MTMPL2200107473</f>
        <v>0</v>
      </c>
      <c r="G17" cm="1">
        <f t="array" ref="G17">[16]!LASTPRICE</f>
        <v>3122</v>
      </c>
      <c r="H17" t="e" cm="1">
        <f t="array" ref="H17">[16]!NETCHANGE</f>
        <v>#N/A</v>
      </c>
      <c r="I17" t="e" cm="1">
        <f t="array" ref="I17">[16]!NETCHANGERATE</f>
        <v>#N/A</v>
      </c>
      <c r="J17" cm="1">
        <f t="array" ref="J17">[16]!BIDVOLUME1</f>
        <v>0</v>
      </c>
      <c r="K17" t="e" cm="1">
        <f t="array" ref="K17">[16]!BIDPRICE1</f>
        <v>#N/A</v>
      </c>
      <c r="L17" t="e" cm="1">
        <f t="array" ref="L17">[16]!ASKPRICE1</f>
        <v>#N/A</v>
      </c>
      <c r="M17" cm="1">
        <f t="array" ref="M17">[16]!ASKVOLUME1</f>
        <v>0</v>
      </c>
      <c r="N17" t="e" cm="1">
        <f t="array" ref="N17">[16]!OPENPRICE</f>
        <v>#N/A</v>
      </c>
      <c r="O17" t="e" cm="1">
        <f t="array" ref="O17">[16]!HIGH</f>
        <v>#N/A</v>
      </c>
      <c r="P17" t="e" cm="1">
        <f t="array" ref="P17">[16]!LOW</f>
        <v>#N/A</v>
      </c>
      <c r="Q17" cm="1">
        <f t="array" ref="Q17">[16]!TRADEVOLUME</f>
        <v>0</v>
      </c>
      <c r="R17" cm="1">
        <f t="array" ref="R17">[16]!POSIVOL</f>
        <v>0</v>
      </c>
      <c r="S17" t="e" cm="1">
        <f t="array" ref="S17">[16]!POSIVOLCHANGE</f>
        <v>#N/A</v>
      </c>
      <c r="T17" cm="1">
        <f t="array" ref="T17">[16]!POSIVOLCHANGEDAILY</f>
        <v>0</v>
      </c>
      <c r="U17" t="e" cm="1">
        <f t="array" ref="U17">[16]!INST_STATE</f>
        <v>#N/A</v>
      </c>
      <c r="V17" t="str" cm="1">
        <f t="array" ref="V17">[16]!UPDATETIME</f>
        <v>22:00:47.000</v>
      </c>
      <c r="W17" cm="1">
        <f t="array" ref="W17">[16]!UPPERLIMITPRICE</f>
        <v>3560</v>
      </c>
      <c r="X17" cm="1">
        <f t="array" ref="X17">[16]!LOWERLIMITPRICE</f>
        <v>2684</v>
      </c>
      <c r="Y17" t="e" cm="1">
        <f t="array" ref="Y17">[16]!CLOSEPRICE</f>
        <v>#N/A</v>
      </c>
      <c r="Z17" cm="1">
        <f t="array" ref="Z17">[16]!SETTLEPRICE</f>
        <v>3122</v>
      </c>
      <c r="AA17" t="e" cm="1">
        <f t="array" ref="AA17">[16]!PRECLOSE</f>
        <v>#N/A</v>
      </c>
      <c r="AB17" cm="1">
        <f t="array" ref="AB17">[16]!PRESETTLEPRICE</f>
        <v>3122</v>
      </c>
      <c r="AC17" t="s">
        <v>42</v>
      </c>
      <c r="AD17" t="s">
        <v>74</v>
      </c>
      <c r="AE17">
        <v>50</v>
      </c>
      <c r="AF17">
        <v>20270514</v>
      </c>
      <c r="AG17" t="e" cm="1">
        <f t="array" ref="AG17">[16]!MARGIN</f>
        <v>#N/A</v>
      </c>
      <c r="AH17" t="e" cm="1">
        <f t="array" ref="AH17">[16]!FEE</f>
        <v>#N/A</v>
      </c>
      <c r="AJ17" cm="1">
        <f t="array" ref="AJ17">[16]!IMPLYBIDVOLUME1</f>
        <v>0</v>
      </c>
      <c r="AK17" t="e" cm="1">
        <f t="array" ref="AK17">[16]!IMPLYBIDPRICE1</f>
        <v>#N/A</v>
      </c>
      <c r="AL17" t="e" cm="1">
        <f t="array" ref="AL17">[16]!IMPLYASKPRICE1</f>
        <v>#N/A</v>
      </c>
      <c r="AM17" cm="1">
        <f t="array" ref="AM17">[16]!IMPLYASKVOLUME1</f>
        <v>0</v>
      </c>
      <c r="AN17" cm="1">
        <f t="array" ref="AN17">[16]!VOLUMEBIDLOT</f>
        <v>0</v>
      </c>
      <c r="AO17" cm="1">
        <f t="array" ref="AO17">[16]!VOLUMEASKLOT</f>
        <v>0</v>
      </c>
    </row>
    <row r="18" spans="1:41" x14ac:dyDescent="0.25">
      <c r="A18" t="s">
        <v>75</v>
      </c>
      <c r="B18" t="s">
        <v>75</v>
      </c>
      <c r="C18" cm="1">
        <f t="array" ref="C18">[17]!NETVOLUME2200107473</f>
        <v>0</v>
      </c>
      <c r="D18" cm="1">
        <f t="array" ref="D18">[17]!LONGPOSITION2200107473</f>
        <v>0</v>
      </c>
      <c r="E18" cm="1">
        <f t="array" ref="E18">[17]!SHORTPOSITION2200107473</f>
        <v>0</v>
      </c>
      <c r="F18" cm="1">
        <f t="array" ref="F18">[17]!MTMPL2200107473</f>
        <v>0</v>
      </c>
      <c r="G18" cm="1">
        <f t="array" ref="G18">[17]!LASTPRICE</f>
        <v>8314</v>
      </c>
      <c r="H18" cm="1">
        <f t="array" ref="H18">[17]!NETCHANGE</f>
        <v>106</v>
      </c>
      <c r="I18" t="str" cm="1">
        <f t="array" ref="I18">[17]!NETCHANGERATE</f>
        <v>+1.29%</v>
      </c>
      <c r="J18" cm="1">
        <f t="array" ref="J18">[17]!BIDVOLUME1</f>
        <v>12</v>
      </c>
      <c r="K18" cm="1">
        <f t="array" ref="K18">[17]!BIDPRICE1</f>
        <v>8312</v>
      </c>
      <c r="L18" cm="1">
        <f t="array" ref="L18">[17]!ASKPRICE1</f>
        <v>8314</v>
      </c>
      <c r="M18" cm="1">
        <f t="array" ref="M18">[17]!ASKVOLUME1</f>
        <v>5</v>
      </c>
      <c r="N18" cm="1">
        <f t="array" ref="N18">[17]!OPENPRICE</f>
        <v>8268</v>
      </c>
      <c r="O18" cm="1">
        <f t="array" ref="O18">[17]!HIGH</f>
        <v>8366</v>
      </c>
      <c r="P18" cm="1">
        <f t="array" ref="P18">[17]!LOW</f>
        <v>8182</v>
      </c>
      <c r="Q18" cm="1">
        <f t="array" ref="Q18">[17]!TRADEVOLUME</f>
        <v>81016</v>
      </c>
      <c r="R18" cm="1">
        <f t="array" ref="R18">[17]!POSIVOL</f>
        <v>46081</v>
      </c>
      <c r="S18" cm="1">
        <f t="array" ref="S18">[17]!POSIVOLCHANGE</f>
        <v>0</v>
      </c>
      <c r="T18" cm="1">
        <f t="array" ref="T18">[17]!POSIVOLCHANGEDAILY</f>
        <v>28</v>
      </c>
      <c r="U18" t="str" cm="1">
        <f t="array" ref="U18">[17]!INST_STATE</f>
        <v>连续交易</v>
      </c>
      <c r="V18" t="str" cm="1">
        <f t="array" ref="V18">[17]!UPDATETIME</f>
        <v>22:52:41.000</v>
      </c>
      <c r="W18" cm="1">
        <f t="array" ref="W18">[17]!UPPERLIMITPRICE</f>
        <v>9112</v>
      </c>
      <c r="X18" cm="1">
        <f t="array" ref="X18">[17]!LOWERLIMITPRICE</f>
        <v>7304</v>
      </c>
      <c r="Y18" t="e" cm="1">
        <f t="array" ref="Y18">[17]!CLOSEPRICE</f>
        <v>#N/A</v>
      </c>
      <c r="Z18" cm="1">
        <f t="array" ref="Z18">[17]!SETTLEPRICE</f>
        <v>8226</v>
      </c>
      <c r="AA18" cm="1">
        <f t="array" ref="AA18">[17]!PRECLOSE</f>
        <v>8266</v>
      </c>
      <c r="AB18" cm="1">
        <f t="array" ref="AB18">[17]!PRESETTLEPRICE</f>
        <v>8208</v>
      </c>
      <c r="AC18" t="s">
        <v>42</v>
      </c>
      <c r="AD18" t="s">
        <v>76</v>
      </c>
      <c r="AE18">
        <v>15</v>
      </c>
      <c r="AF18">
        <v>20260714</v>
      </c>
      <c r="AG18" t="e" cm="1">
        <f t="array" ref="AG18">[17]!MARGIN</f>
        <v>#N/A</v>
      </c>
      <c r="AH18" t="e" cm="1">
        <f t="array" ref="AH18">[17]!FEE</f>
        <v>#N/A</v>
      </c>
      <c r="AJ18" cm="1">
        <f t="array" ref="AJ18">[17]!IMPLYBIDVOLUME1</f>
        <v>0</v>
      </c>
      <c r="AK18" t="e" cm="1">
        <f t="array" ref="AK18">[17]!IMPLYBIDPRICE1</f>
        <v>#N/A</v>
      </c>
      <c r="AL18" t="e" cm="1">
        <f t="array" ref="AL18">[17]!IMPLYASKPRICE1</f>
        <v>#N/A</v>
      </c>
      <c r="AM18" cm="1">
        <f t="array" ref="AM18">[17]!IMPLYASKVOLUME1</f>
        <v>0</v>
      </c>
      <c r="AN18" cm="1">
        <f t="array" ref="AN18">[17]!VOLUMEBIDLOT</f>
        <v>0</v>
      </c>
      <c r="AO18" cm="1">
        <f t="array" ref="AO18">[17]!VOLUMEASKLOT</f>
        <v>0</v>
      </c>
    </row>
    <row r="19" spans="1:41" x14ac:dyDescent="0.25">
      <c r="A19" t="s">
        <v>77</v>
      </c>
      <c r="B19" t="s">
        <v>77</v>
      </c>
      <c r="C19" cm="1">
        <f t="array" ref="C19">[18]!NETVOLUME2200107473</f>
        <v>0</v>
      </c>
      <c r="D19" cm="1">
        <f t="array" ref="D19">[18]!LONGPOSITION2200107473</f>
        <v>0</v>
      </c>
      <c r="E19" cm="1">
        <f t="array" ref="E19">[18]!SHORTPOSITION2200107473</f>
        <v>0</v>
      </c>
      <c r="F19" cm="1">
        <f t="array" ref="F19">[18]!MTMPL2200107473</f>
        <v>0</v>
      </c>
      <c r="G19" cm="1">
        <f t="array" ref="G19">[18]!LASTPRICE</f>
        <v>9290</v>
      </c>
      <c r="H19" cm="1">
        <f t="array" ref="H19">[18]!NETCHANGE</f>
        <v>-34</v>
      </c>
      <c r="I19" t="str" cm="1">
        <f t="array" ref="I19">[18]!NETCHANGERATE</f>
        <v>-0.36%</v>
      </c>
      <c r="J19" cm="1">
        <f t="array" ref="J19">[18]!BIDVOLUME1</f>
        <v>34</v>
      </c>
      <c r="K19" cm="1">
        <f t="array" ref="K19">[18]!BIDPRICE1</f>
        <v>9288</v>
      </c>
      <c r="L19" cm="1">
        <f t="array" ref="L19">[18]!ASKPRICE1</f>
        <v>9292</v>
      </c>
      <c r="M19" cm="1">
        <f t="array" ref="M19">[18]!ASKVOLUME1</f>
        <v>12</v>
      </c>
      <c r="N19" cm="1">
        <f t="array" ref="N19">[18]!OPENPRICE</f>
        <v>9356</v>
      </c>
      <c r="O19" cm="1">
        <f t="array" ref="O19">[18]!HIGH</f>
        <v>9408</v>
      </c>
      <c r="P19" cm="1">
        <f t="array" ref="P19">[18]!LOW</f>
        <v>9258</v>
      </c>
      <c r="Q19" cm="1">
        <f t="array" ref="Q19">[18]!TRADEVOLUME</f>
        <v>223054</v>
      </c>
      <c r="R19" cm="1">
        <f t="array" ref="R19">[18]!POSIVOL</f>
        <v>185172</v>
      </c>
      <c r="S19" cm="1">
        <f t="array" ref="S19">[18]!POSIVOLCHANGE</f>
        <v>0</v>
      </c>
      <c r="T19" cm="1">
        <f t="array" ref="T19">[18]!POSIVOLCHANGEDAILY</f>
        <v>-8116</v>
      </c>
      <c r="U19" t="str" cm="1">
        <f t="array" ref="U19">[18]!INST_STATE</f>
        <v>连续交易</v>
      </c>
      <c r="V19" t="str" cm="1">
        <f t="array" ref="V19">[18]!UPDATETIME</f>
        <v>22:52:40.000</v>
      </c>
      <c r="W19" cm="1">
        <f t="array" ref="W19">[18]!UPPERLIMITPRICE</f>
        <v>10350</v>
      </c>
      <c r="X19" cm="1">
        <f t="array" ref="X19">[18]!LOWERLIMITPRICE</f>
        <v>8298</v>
      </c>
      <c r="Y19" t="e" cm="1">
        <f t="array" ref="Y19">[18]!CLOSEPRICE</f>
        <v>#N/A</v>
      </c>
      <c r="Z19" cm="1">
        <f t="array" ref="Z19">[18]!SETTLEPRICE</f>
        <v>9328</v>
      </c>
      <c r="AA19" cm="1">
        <f t="array" ref="AA19">[18]!PRECLOSE</f>
        <v>9364</v>
      </c>
      <c r="AB19" cm="1">
        <f t="array" ref="AB19">[18]!PRESETTLEPRICE</f>
        <v>9324</v>
      </c>
      <c r="AC19" t="s">
        <v>42</v>
      </c>
      <c r="AD19" t="s">
        <v>78</v>
      </c>
      <c r="AE19">
        <v>5</v>
      </c>
      <c r="AF19">
        <v>20260714</v>
      </c>
      <c r="AG19" t="e" cm="1">
        <f t="array" ref="AG19">[18]!MARGIN</f>
        <v>#N/A</v>
      </c>
      <c r="AH19" t="e" cm="1">
        <f t="array" ref="AH19">[18]!FEE</f>
        <v>#N/A</v>
      </c>
      <c r="AJ19" cm="1">
        <f t="array" ref="AJ19">[18]!IMPLYBIDVOLUME1</f>
        <v>0</v>
      </c>
      <c r="AK19" t="e" cm="1">
        <f t="array" ref="AK19">[18]!IMPLYBIDPRICE1</f>
        <v>#N/A</v>
      </c>
      <c r="AL19" t="e" cm="1">
        <f t="array" ref="AL19">[18]!IMPLYASKPRICE1</f>
        <v>#N/A</v>
      </c>
      <c r="AM19" cm="1">
        <f t="array" ref="AM19">[18]!IMPLYASKVOLUME1</f>
        <v>0</v>
      </c>
      <c r="AN19" cm="1">
        <f t="array" ref="AN19">[18]!VOLUMEBIDLOT</f>
        <v>0</v>
      </c>
      <c r="AO19" cm="1">
        <f t="array" ref="AO19">[18]!VOLUMEASKLOT</f>
        <v>0</v>
      </c>
    </row>
    <row r="20" spans="1:41" x14ac:dyDescent="0.25">
      <c r="A20" t="s">
        <v>79</v>
      </c>
      <c r="B20" t="s">
        <v>79</v>
      </c>
      <c r="C20" cm="1">
        <f t="array" ref="C20">[19]!NETVOLUME2200107473</f>
        <v>0</v>
      </c>
      <c r="D20" cm="1">
        <f t="array" ref="D20">[19]!LONGPOSITION2200107473</f>
        <v>0</v>
      </c>
      <c r="E20" cm="1">
        <f t="array" ref="E20">[19]!SHORTPOSITION2200107473</f>
        <v>0</v>
      </c>
      <c r="F20" cm="1">
        <f t="array" ref="F20">[19]!MTMPL2200107473</f>
        <v>0</v>
      </c>
      <c r="G20" cm="1">
        <f t="array" ref="G20">[19]!LASTPRICE</f>
        <v>2479</v>
      </c>
      <c r="H20" t="e" cm="1">
        <f t="array" ref="H20">[19]!NETCHANGE</f>
        <v>#N/A</v>
      </c>
      <c r="I20" t="e" cm="1">
        <f t="array" ref="I20">[19]!NETCHANGERATE</f>
        <v>#N/A</v>
      </c>
      <c r="J20" cm="1">
        <f t="array" ref="J20">[19]!BIDVOLUME1</f>
        <v>0</v>
      </c>
      <c r="K20" t="e" cm="1">
        <f t="array" ref="K20">[19]!BIDPRICE1</f>
        <v>#N/A</v>
      </c>
      <c r="L20" t="e" cm="1">
        <f t="array" ref="L20">[19]!ASKPRICE1</f>
        <v>#N/A</v>
      </c>
      <c r="M20" cm="1">
        <f t="array" ref="M20">[19]!ASKVOLUME1</f>
        <v>0</v>
      </c>
      <c r="N20" t="e" cm="1">
        <f t="array" ref="N20">[19]!OPENPRICE</f>
        <v>#N/A</v>
      </c>
      <c r="O20" t="e" cm="1">
        <f t="array" ref="O20">[19]!HIGH</f>
        <v>#N/A</v>
      </c>
      <c r="P20" t="e" cm="1">
        <f t="array" ref="P20">[19]!LOW</f>
        <v>#N/A</v>
      </c>
      <c r="Q20" cm="1">
        <f t="array" ref="Q20">[19]!TRADEVOLUME</f>
        <v>0</v>
      </c>
      <c r="R20" cm="1">
        <f t="array" ref="R20">[19]!POSIVOL</f>
        <v>0</v>
      </c>
      <c r="S20" t="e" cm="1">
        <f t="array" ref="S20">[19]!POSIVOLCHANGE</f>
        <v>#N/A</v>
      </c>
      <c r="T20" cm="1">
        <f t="array" ref="T20">[19]!POSIVOLCHANGEDAILY</f>
        <v>0</v>
      </c>
      <c r="U20" t="e" cm="1">
        <f t="array" ref="U20">[19]!INST_STATE</f>
        <v>#N/A</v>
      </c>
      <c r="V20" t="str" cm="1">
        <f t="array" ref="V20">[19]!UPDATETIME</f>
        <v>22:00:47.000</v>
      </c>
      <c r="W20" cm="1">
        <f t="array" ref="W20">[19]!UPPERLIMITPRICE</f>
        <v>2827</v>
      </c>
      <c r="X20" cm="1">
        <f t="array" ref="X20">[19]!LOWERLIMITPRICE</f>
        <v>2131</v>
      </c>
      <c r="Y20" t="e" cm="1">
        <f t="array" ref="Y20">[19]!CLOSEPRICE</f>
        <v>#N/A</v>
      </c>
      <c r="Z20" cm="1">
        <f t="array" ref="Z20">[19]!SETTLEPRICE</f>
        <v>2479</v>
      </c>
      <c r="AA20" t="e" cm="1">
        <f t="array" ref="AA20">[19]!PRECLOSE</f>
        <v>#N/A</v>
      </c>
      <c r="AB20" cm="1">
        <f t="array" ref="AB20">[19]!PRESETTLEPRICE</f>
        <v>2479</v>
      </c>
      <c r="AC20" t="s">
        <v>42</v>
      </c>
      <c r="AD20" t="s">
        <v>80</v>
      </c>
      <c r="AE20">
        <v>20</v>
      </c>
      <c r="AF20">
        <v>20270514</v>
      </c>
      <c r="AG20" t="e" cm="1">
        <f t="array" ref="AG20">[19]!MARGIN</f>
        <v>#N/A</v>
      </c>
      <c r="AH20" t="e" cm="1">
        <f t="array" ref="AH20">[19]!FEE</f>
        <v>#N/A</v>
      </c>
      <c r="AJ20" cm="1">
        <f t="array" ref="AJ20">[19]!IMPLYBIDVOLUME1</f>
        <v>0</v>
      </c>
      <c r="AK20" t="e" cm="1">
        <f t="array" ref="AK20">[19]!IMPLYBIDPRICE1</f>
        <v>#N/A</v>
      </c>
      <c r="AL20" t="e" cm="1">
        <f t="array" ref="AL20">[19]!IMPLYASKPRICE1</f>
        <v>#N/A</v>
      </c>
      <c r="AM20" cm="1">
        <f t="array" ref="AM20">[19]!IMPLYASKVOLUME1</f>
        <v>0</v>
      </c>
      <c r="AN20" cm="1">
        <f t="array" ref="AN20">[19]!VOLUMEBIDLOT</f>
        <v>0</v>
      </c>
      <c r="AO20" cm="1">
        <f t="array" ref="AO20">[19]!VOLUMEASKLOT</f>
        <v>0</v>
      </c>
    </row>
    <row r="21" spans="1:41" x14ac:dyDescent="0.25">
      <c r="A21" t="s">
        <v>81</v>
      </c>
      <c r="B21" t="s">
        <v>81</v>
      </c>
      <c r="C21" cm="1">
        <f t="array" ref="C21">[20]!NETVOLUME2200107473</f>
        <v>0</v>
      </c>
      <c r="D21" cm="1">
        <f t="array" ref="D21">[20]!LONGPOSITION2200107473</f>
        <v>0</v>
      </c>
      <c r="E21" cm="1">
        <f t="array" ref="E21">[20]!SHORTPOSITION2200107473</f>
        <v>0</v>
      </c>
      <c r="F21" cm="1">
        <f t="array" ref="F21">[20]!MTMPL2200107473</f>
        <v>0</v>
      </c>
      <c r="G21" cm="1">
        <f t="array" ref="G21">[20]!LASTPRICE</f>
        <v>2374</v>
      </c>
      <c r="H21" cm="1">
        <f t="array" ref="H21">[20]!NETCHANGE</f>
        <v>26</v>
      </c>
      <c r="I21" t="str" cm="1">
        <f t="array" ref="I21">[20]!NETCHANGERATE</f>
        <v>+1.11%</v>
      </c>
      <c r="J21" cm="1">
        <f t="array" ref="J21">[20]!BIDVOLUME1</f>
        <v>262</v>
      </c>
      <c r="K21" cm="1">
        <f t="array" ref="K21">[20]!BIDPRICE1</f>
        <v>2374</v>
      </c>
      <c r="L21" cm="1">
        <f t="array" ref="L21">[20]!ASKPRICE1</f>
        <v>2375</v>
      </c>
      <c r="M21" cm="1">
        <f t="array" ref="M21">[20]!ASKVOLUME1</f>
        <v>664</v>
      </c>
      <c r="N21" cm="1">
        <f t="array" ref="N21">[20]!OPENPRICE</f>
        <v>2375</v>
      </c>
      <c r="O21" cm="1">
        <f t="array" ref="O21">[20]!HIGH</f>
        <v>2379</v>
      </c>
      <c r="P21" cm="1">
        <f t="array" ref="P21">[20]!LOW</f>
        <v>2358</v>
      </c>
      <c r="Q21" cm="1">
        <f t="array" ref="Q21">[20]!TRADEVOLUME</f>
        <v>552200</v>
      </c>
      <c r="R21" cm="1">
        <f t="array" ref="R21">[20]!POSIVOL</f>
        <v>860070</v>
      </c>
      <c r="S21" cm="1">
        <f t="array" ref="S21">[20]!POSIVOLCHANGE</f>
        <v>-3</v>
      </c>
      <c r="T21" cm="1">
        <f t="array" ref="T21">[20]!POSIVOLCHANGEDAILY</f>
        <v>994</v>
      </c>
      <c r="U21" t="str" cm="1">
        <f t="array" ref="U21">[20]!INST_STATE</f>
        <v>连续交易</v>
      </c>
      <c r="V21" t="str" cm="1">
        <f t="array" ref="V21">[20]!UPDATETIME</f>
        <v>22:52:40.000</v>
      </c>
      <c r="W21" cm="1">
        <f t="array" ref="W21">[20]!UPPERLIMITPRICE</f>
        <v>2489</v>
      </c>
      <c r="X21" cm="1">
        <f t="array" ref="X21">[20]!LOWERLIMITPRICE</f>
        <v>2207</v>
      </c>
      <c r="Y21" t="e" cm="1">
        <f t="array" ref="Y21">[20]!CLOSEPRICE</f>
        <v>#N/A</v>
      </c>
      <c r="Z21" cm="1">
        <f t="array" ref="Z21">[20]!SETTLEPRICE</f>
        <v>2371</v>
      </c>
      <c r="AA21" cm="1">
        <f t="array" ref="AA21">[20]!PRECLOSE</f>
        <v>2373</v>
      </c>
      <c r="AB21" cm="1">
        <f t="array" ref="AB21">[20]!PRESETTLEPRICE</f>
        <v>2348</v>
      </c>
      <c r="AC21" t="s">
        <v>42</v>
      </c>
      <c r="AD21" t="s">
        <v>82</v>
      </c>
      <c r="AE21">
        <v>10</v>
      </c>
      <c r="AF21">
        <v>20260914</v>
      </c>
      <c r="AG21" t="e" cm="1">
        <f t="array" ref="AG21">[20]!MARGIN</f>
        <v>#N/A</v>
      </c>
      <c r="AH21" t="e" cm="1">
        <f t="array" ref="AH21">[20]!FEE</f>
        <v>#N/A</v>
      </c>
      <c r="AJ21" cm="1">
        <f t="array" ref="AJ21">[20]!IMPLYBIDVOLUME1</f>
        <v>0</v>
      </c>
      <c r="AK21" t="e" cm="1">
        <f t="array" ref="AK21">[20]!IMPLYBIDPRICE1</f>
        <v>#N/A</v>
      </c>
      <c r="AL21" t="e" cm="1">
        <f t="array" ref="AL21">[20]!IMPLYASKPRICE1</f>
        <v>#N/A</v>
      </c>
      <c r="AM21" cm="1">
        <f t="array" ref="AM21">[20]!IMPLYASKVOLUME1</f>
        <v>0</v>
      </c>
      <c r="AN21" cm="1">
        <f t="array" ref="AN21">[20]!VOLUMEBIDLOT</f>
        <v>0</v>
      </c>
      <c r="AO21" cm="1">
        <f t="array" ref="AO21">[20]!VOLUMEASKLOT</f>
        <v>0</v>
      </c>
    </row>
    <row r="22" spans="1:41" x14ac:dyDescent="0.25">
      <c r="A22" t="s">
        <v>83</v>
      </c>
      <c r="B22" t="s">
        <v>83</v>
      </c>
      <c r="C22" cm="1">
        <f t="array" ref="C22">[21]!NETVOLUME2200107473</f>
        <v>0</v>
      </c>
      <c r="D22" cm="1">
        <f t="array" ref="D22">[21]!LONGPOSITION2200107473</f>
        <v>0</v>
      </c>
      <c r="E22" cm="1">
        <f t="array" ref="E22">[21]!SHORTPOSITION2200107473</f>
        <v>0</v>
      </c>
      <c r="F22" cm="1">
        <f t="array" ref="F22">[21]!MTMPL2200107473</f>
        <v>0</v>
      </c>
      <c r="G22" cm="1">
        <f t="array" ref="G22">[21]!LASTPRICE</f>
        <v>5699</v>
      </c>
      <c r="H22" cm="1">
        <f t="array" ref="H22">[21]!NETCHANGE</f>
        <v>17</v>
      </c>
      <c r="I22" t="str" cm="1">
        <f t="array" ref="I22">[21]!NETCHANGERATE</f>
        <v>+0.30%</v>
      </c>
      <c r="J22" cm="1">
        <f t="array" ref="J22">[21]!BIDVOLUME1</f>
        <v>2</v>
      </c>
      <c r="K22" cm="1">
        <f t="array" ref="K22">[21]!BIDPRICE1</f>
        <v>5685</v>
      </c>
      <c r="L22" cm="1">
        <f t="array" ref="L22">[21]!ASKPRICE1</f>
        <v>5710</v>
      </c>
      <c r="M22" cm="1">
        <f t="array" ref="M22">[21]!ASKVOLUME1</f>
        <v>1</v>
      </c>
      <c r="N22" cm="1">
        <f t="array" ref="N22">[21]!OPENPRICE</f>
        <v>5641</v>
      </c>
      <c r="O22" cm="1">
        <f t="array" ref="O22">[21]!HIGH</f>
        <v>5757</v>
      </c>
      <c r="P22" cm="1">
        <f t="array" ref="P22">[21]!LOW</f>
        <v>5641</v>
      </c>
      <c r="Q22" cm="1">
        <f t="array" ref="Q22">[21]!TRADEVOLUME</f>
        <v>42</v>
      </c>
      <c r="R22" cm="1">
        <f t="array" ref="R22">[21]!POSIVOL</f>
        <v>40</v>
      </c>
      <c r="S22" t="e" cm="1">
        <f t="array" ref="S22">[21]!POSIVOLCHANGE</f>
        <v>#N/A</v>
      </c>
      <c r="T22" cm="1">
        <f t="array" ref="T22">[21]!POSIVOLCHANGEDAILY</f>
        <v>0</v>
      </c>
      <c r="U22" t="e" cm="1">
        <f t="array" ref="U22">[21]!INST_STATE</f>
        <v>#N/A</v>
      </c>
      <c r="V22" t="str" cm="1">
        <f t="array" ref="V22">[21]!UPDATETIME</f>
        <v>22:46:07.000</v>
      </c>
      <c r="W22" cm="1">
        <f t="array" ref="W22">[21]!UPPERLIMITPRICE</f>
        <v>6251</v>
      </c>
      <c r="X22" cm="1">
        <f t="array" ref="X22">[21]!LOWERLIMITPRICE</f>
        <v>5113</v>
      </c>
      <c r="Y22" t="e" cm="1">
        <f t="array" ref="Y22">[21]!CLOSEPRICE</f>
        <v>#N/A</v>
      </c>
      <c r="Z22" t="e" cm="1">
        <f t="array" ref="Z22">[21]!SETTLEPRICE</f>
        <v>#N/A</v>
      </c>
      <c r="AA22" cm="1">
        <f t="array" ref="AA22">[21]!PRECLOSE</f>
        <v>5695</v>
      </c>
      <c r="AB22" cm="1">
        <f t="array" ref="AB22">[21]!PRESETTLEPRICE</f>
        <v>5682</v>
      </c>
      <c r="AC22" t="s">
        <v>42</v>
      </c>
      <c r="AD22" t="s">
        <v>84</v>
      </c>
      <c r="AE22">
        <v>10</v>
      </c>
      <c r="AF22">
        <v>20260914</v>
      </c>
      <c r="AG22" t="e" cm="1">
        <f t="array" ref="AG22">[21]!MARGIN</f>
        <v>#N/A</v>
      </c>
      <c r="AH22" t="e" cm="1">
        <f t="array" ref="AH22">[21]!FEE</f>
        <v>#N/A</v>
      </c>
      <c r="AJ22" cm="1">
        <f t="array" ref="AJ22">[21]!IMPLYBIDVOLUME1</f>
        <v>0</v>
      </c>
      <c r="AK22" t="e" cm="1">
        <f t="array" ref="AK22">[21]!IMPLYBIDPRICE1</f>
        <v>#N/A</v>
      </c>
      <c r="AL22" t="e" cm="1">
        <f t="array" ref="AL22">[21]!IMPLYASKPRICE1</f>
        <v>#N/A</v>
      </c>
      <c r="AM22" cm="1">
        <f t="array" ref="AM22">[21]!IMPLYASKVOLUME1</f>
        <v>0</v>
      </c>
      <c r="AN22" cm="1">
        <f t="array" ref="AN22">[21]!VOLUMEBIDLOT</f>
        <v>0</v>
      </c>
      <c r="AO22" cm="1">
        <f t="array" ref="AO22">[21]!VOLUMEASKLOT</f>
        <v>0</v>
      </c>
    </row>
    <row r="23" spans="1:41" x14ac:dyDescent="0.25">
      <c r="A23" t="s">
        <v>85</v>
      </c>
      <c r="B23" t="s">
        <v>85</v>
      </c>
      <c r="C23" cm="1">
        <f t="array" ref="C23">[22]!NETVOLUME2200107473</f>
        <v>0</v>
      </c>
      <c r="D23" cm="1">
        <f t="array" ref="D23">[22]!LONGPOSITION2200107473</f>
        <v>0</v>
      </c>
      <c r="E23" cm="1">
        <f t="array" ref="E23">[22]!SHORTPOSITION2200107473</f>
        <v>0</v>
      </c>
      <c r="F23" cm="1">
        <f t="array" ref="F23">[22]!MTMPL2200107473</f>
        <v>0</v>
      </c>
      <c r="G23" cm="1">
        <f t="array" ref="G23">[22]!LASTPRICE</f>
        <v>1180</v>
      </c>
      <c r="H23" cm="1">
        <f t="array" ref="H23">[22]!NETCHANGE</f>
        <v>-14</v>
      </c>
      <c r="I23" t="str" cm="1">
        <f t="array" ref="I23">[22]!NETCHANGERATE</f>
        <v>-1.17%</v>
      </c>
      <c r="J23" cm="1">
        <f t="array" ref="J23">[22]!BIDVOLUME1</f>
        <v>648</v>
      </c>
      <c r="K23" cm="1">
        <f t="array" ref="K23">[22]!BIDPRICE1</f>
        <v>1180</v>
      </c>
      <c r="L23" cm="1">
        <f t="array" ref="L23">[22]!ASKPRICE1</f>
        <v>1181</v>
      </c>
      <c r="M23" cm="1">
        <f t="array" ref="M23">[22]!ASKVOLUME1</f>
        <v>1956</v>
      </c>
      <c r="N23" cm="1">
        <f t="array" ref="N23">[22]!OPENPRICE</f>
        <v>1193</v>
      </c>
      <c r="O23" cm="1">
        <f t="array" ref="O23">[22]!HIGH</f>
        <v>1194</v>
      </c>
      <c r="P23" cm="1">
        <f t="array" ref="P23">[22]!LOW</f>
        <v>1175</v>
      </c>
      <c r="Q23" cm="1">
        <f t="array" ref="Q23">[22]!TRADEVOLUME</f>
        <v>552035</v>
      </c>
      <c r="R23" cm="1">
        <f t="array" ref="R23">[22]!POSIVOL</f>
        <v>1246809</v>
      </c>
      <c r="S23" cm="1">
        <f t="array" ref="S23">[22]!POSIVOLCHANGE</f>
        <v>0</v>
      </c>
      <c r="T23" cm="1">
        <f t="array" ref="T23">[22]!POSIVOLCHANGEDAILY</f>
        <v>52847</v>
      </c>
      <c r="U23" t="str" cm="1">
        <f t="array" ref="U23">[22]!INST_STATE</f>
        <v>连续交易</v>
      </c>
      <c r="V23" t="str" cm="1">
        <f t="array" ref="V23">[22]!UPDATETIME</f>
        <v>22:52:40.000</v>
      </c>
      <c r="W23" cm="1">
        <f t="array" ref="W23">[22]!UPPERLIMITPRICE</f>
        <v>1290</v>
      </c>
      <c r="X23" cm="1">
        <f t="array" ref="X23">[22]!LOWERLIMITPRICE</f>
        <v>1098</v>
      </c>
      <c r="Y23" t="e" cm="1">
        <f t="array" ref="Y23">[22]!CLOSEPRICE</f>
        <v>#N/A</v>
      </c>
      <c r="Z23" cm="1">
        <f t="array" ref="Z23">[22]!SETTLEPRICE</f>
        <v>1186</v>
      </c>
      <c r="AA23" cm="1">
        <f t="array" ref="AA23">[22]!PRECLOSE</f>
        <v>1193</v>
      </c>
      <c r="AB23" cm="1">
        <f t="array" ref="AB23">[22]!PRESETTLEPRICE</f>
        <v>1194</v>
      </c>
      <c r="AC23" t="s">
        <v>42</v>
      </c>
      <c r="AD23" t="s">
        <v>86</v>
      </c>
      <c r="AE23">
        <v>20</v>
      </c>
      <c r="AF23">
        <v>20260914</v>
      </c>
      <c r="AG23" t="e" cm="1">
        <f t="array" ref="AG23">[22]!MARGIN</f>
        <v>#N/A</v>
      </c>
      <c r="AH23" t="e" cm="1">
        <f t="array" ref="AH23">[22]!FEE</f>
        <v>#N/A</v>
      </c>
      <c r="AJ23" cm="1">
        <f t="array" ref="AJ23">[22]!IMPLYBIDVOLUME1</f>
        <v>0</v>
      </c>
      <c r="AK23" t="e" cm="1">
        <f t="array" ref="AK23">[22]!IMPLYBIDPRICE1</f>
        <v>#N/A</v>
      </c>
      <c r="AL23" t="e" cm="1">
        <f t="array" ref="AL23">[22]!IMPLYASKPRICE1</f>
        <v>#N/A</v>
      </c>
      <c r="AM23" cm="1">
        <f t="array" ref="AM23">[22]!IMPLYASKVOLUME1</f>
        <v>0</v>
      </c>
      <c r="AN23" cm="1">
        <f t="array" ref="AN23">[22]!VOLUMEBIDLOT</f>
        <v>0</v>
      </c>
      <c r="AO23" cm="1">
        <f t="array" ref="AO23">[22]!VOLUMEASKLOT</f>
        <v>0</v>
      </c>
    </row>
    <row r="24" spans="1:41" x14ac:dyDescent="0.25">
      <c r="A24" t="s">
        <v>87</v>
      </c>
      <c r="B24" t="s">
        <v>87</v>
      </c>
      <c r="C24" cm="1">
        <f t="array" ref="C24">[23]!NETVOLUME2200107473</f>
        <v>0</v>
      </c>
      <c r="D24" cm="1">
        <f t="array" ref="D24">[23]!LONGPOSITION2200107473</f>
        <v>0</v>
      </c>
      <c r="E24" cm="1">
        <f t="array" ref="E24">[23]!SHORTPOSITION2200107473</f>
        <v>0</v>
      </c>
      <c r="F24" cm="1">
        <f t="array" ref="F24">[23]!MTMPL2200107473</f>
        <v>0</v>
      </c>
      <c r="G24" cm="1">
        <f t="array" ref="G24">[23]!LASTPRICE</f>
        <v>5876</v>
      </c>
      <c r="H24" cm="1">
        <f t="array" ref="H24">[23]!NETCHANGE</f>
        <v>48</v>
      </c>
      <c r="I24" t="str" cm="1">
        <f t="array" ref="I24">[23]!NETCHANGERATE</f>
        <v>+0.82%</v>
      </c>
      <c r="J24" cm="1">
        <f t="array" ref="J24">[23]!BIDVOLUME1</f>
        <v>182</v>
      </c>
      <c r="K24" cm="1">
        <f t="array" ref="K24">[23]!BIDPRICE1</f>
        <v>5874</v>
      </c>
      <c r="L24" cm="1">
        <f t="array" ref="L24">[23]!ASKPRICE1</f>
        <v>5876</v>
      </c>
      <c r="M24" cm="1">
        <f t="array" ref="M24">[23]!ASKVOLUME1</f>
        <v>35</v>
      </c>
      <c r="N24" cm="1">
        <f t="array" ref="N24">[23]!OPENPRICE</f>
        <v>5850</v>
      </c>
      <c r="O24" cm="1">
        <f t="array" ref="O24">[23]!HIGH</f>
        <v>5886</v>
      </c>
      <c r="P24" cm="1">
        <f t="array" ref="P24">[23]!LOW</f>
        <v>5806</v>
      </c>
      <c r="Q24" cm="1">
        <f t="array" ref="Q24">[23]!TRADEVOLUME</f>
        <v>219787</v>
      </c>
      <c r="R24" cm="1">
        <f t="array" ref="R24">[23]!POSIVOL</f>
        <v>269053</v>
      </c>
      <c r="S24" cm="1">
        <f t="array" ref="S24">[23]!POSIVOLCHANGE</f>
        <v>0</v>
      </c>
      <c r="T24" cm="1">
        <f t="array" ref="T24">[23]!POSIVOLCHANGEDAILY</f>
        <v>1830</v>
      </c>
      <c r="U24" t="str" cm="1">
        <f t="array" ref="U24">[23]!INST_STATE</f>
        <v>连续交易</v>
      </c>
      <c r="V24" t="str" cm="1">
        <f t="array" ref="V24">[23]!UPDATETIME</f>
        <v>22:52:41.000</v>
      </c>
      <c r="W24" cm="1">
        <f t="array" ref="W24">[23]!UPPERLIMITPRICE</f>
        <v>6236</v>
      </c>
      <c r="X24" cm="1">
        <f t="array" ref="X24">[23]!LOWERLIMITPRICE</f>
        <v>5420</v>
      </c>
      <c r="Y24" t="e" cm="1">
        <f t="array" ref="Y24">[23]!CLOSEPRICE</f>
        <v>#N/A</v>
      </c>
      <c r="Z24" t="e" cm="1">
        <f t="array" ref="Z24">[23]!SETTLEPRICE</f>
        <v>#N/A</v>
      </c>
      <c r="AA24" cm="1">
        <f t="array" ref="AA24">[23]!PRECLOSE</f>
        <v>5850</v>
      </c>
      <c r="AB24" cm="1">
        <f t="array" ref="AB24">[23]!PRESETTLEPRICE</f>
        <v>5828</v>
      </c>
      <c r="AC24" t="s">
        <v>42</v>
      </c>
      <c r="AD24" t="s">
        <v>88</v>
      </c>
      <c r="AE24">
        <v>5</v>
      </c>
      <c r="AF24">
        <v>20260714</v>
      </c>
      <c r="AG24" t="e" cm="1">
        <f t="array" ref="AG24">[23]!MARGIN</f>
        <v>#N/A</v>
      </c>
      <c r="AH24" t="e" cm="1">
        <f t="array" ref="AH24">[23]!FEE</f>
        <v>#N/A</v>
      </c>
      <c r="AJ24" cm="1">
        <f t="array" ref="AJ24">[23]!IMPLYBIDVOLUME1</f>
        <v>0</v>
      </c>
      <c r="AK24" t="e" cm="1">
        <f t="array" ref="AK24">[23]!IMPLYBIDPRICE1</f>
        <v>#N/A</v>
      </c>
      <c r="AL24" t="e" cm="1">
        <f t="array" ref="AL24">[23]!IMPLYASKPRICE1</f>
        <v>#N/A</v>
      </c>
      <c r="AM24" cm="1">
        <f t="array" ref="AM24">[23]!IMPLYASKVOLUME1</f>
        <v>0</v>
      </c>
      <c r="AN24" cm="1">
        <f t="array" ref="AN24">[23]!VOLUMEBIDLOT</f>
        <v>0</v>
      </c>
      <c r="AO24" cm="1">
        <f t="array" ref="AO24">[23]!VOLUMEASKLOT</f>
        <v>0</v>
      </c>
    </row>
    <row r="25" spans="1:41" x14ac:dyDescent="0.25">
      <c r="A25" t="s">
        <v>89</v>
      </c>
      <c r="B25" t="s">
        <v>89</v>
      </c>
      <c r="C25" cm="1">
        <f t="array" ref="C25">[24]!NETVOLUME2200107473</f>
        <v>0</v>
      </c>
      <c r="D25" cm="1">
        <f t="array" ref="D25">[24]!LONGPOSITION2200107473</f>
        <v>0</v>
      </c>
      <c r="E25" cm="1">
        <f t="array" ref="E25">[24]!SHORTPOSITION2200107473</f>
        <v>0</v>
      </c>
      <c r="F25" cm="1">
        <f t="array" ref="F25">[24]!MTMPL2200107473</f>
        <v>0</v>
      </c>
      <c r="G25" cm="1">
        <f t="array" ref="G25">[24]!LASTPRICE</f>
        <v>2026</v>
      </c>
      <c r="H25" cm="1">
        <f t="array" ref="H25">[24]!NETCHANGE</f>
        <v>10</v>
      </c>
      <c r="I25" t="str" cm="1">
        <f t="array" ref="I25">[24]!NETCHANGERATE</f>
        <v>+0.50%</v>
      </c>
      <c r="J25" cm="1">
        <f t="array" ref="J25">[24]!BIDVOLUME1</f>
        <v>143</v>
      </c>
      <c r="K25" cm="1">
        <f t="array" ref="K25">[24]!BIDPRICE1</f>
        <v>2025</v>
      </c>
      <c r="L25" cm="1">
        <f t="array" ref="L25">[24]!ASKPRICE1</f>
        <v>2026</v>
      </c>
      <c r="M25" cm="1">
        <f t="array" ref="M25">[24]!ASKVOLUME1</f>
        <v>110</v>
      </c>
      <c r="N25" cm="1">
        <f t="array" ref="N25">[24]!OPENPRICE</f>
        <v>2038</v>
      </c>
      <c r="O25" cm="1">
        <f t="array" ref="O25">[24]!HIGH</f>
        <v>2047</v>
      </c>
      <c r="P25" cm="1">
        <f t="array" ref="P25">[24]!LOW</f>
        <v>2000</v>
      </c>
      <c r="Q25" cm="1">
        <f t="array" ref="Q25">[24]!TRADEVOLUME</f>
        <v>554603</v>
      </c>
      <c r="R25" cm="1">
        <f t="array" ref="R25">[24]!POSIVOL</f>
        <v>264038</v>
      </c>
      <c r="S25" cm="1">
        <f t="array" ref="S25">[24]!POSIVOLCHANGE</f>
        <v>0</v>
      </c>
      <c r="T25" cm="1">
        <f t="array" ref="T25">[24]!POSIVOLCHANGEDAILY</f>
        <v>601</v>
      </c>
      <c r="U25" t="str" cm="1">
        <f t="array" ref="U25">[24]!INST_STATE</f>
        <v>连续交易</v>
      </c>
      <c r="V25" t="str" cm="1">
        <f t="array" ref="V25">[24]!UPDATETIME</f>
        <v>22:52:41.000</v>
      </c>
      <c r="W25" cm="1">
        <f t="array" ref="W25">[24]!UPPERLIMITPRICE</f>
        <v>2218</v>
      </c>
      <c r="X25" cm="1">
        <f t="array" ref="X25">[24]!LOWERLIMITPRICE</f>
        <v>1814</v>
      </c>
      <c r="Y25" t="e" cm="1">
        <f t="array" ref="Y25">[24]!CLOSEPRICE</f>
        <v>#N/A</v>
      </c>
      <c r="Z25" cm="1">
        <f t="array" ref="Z25">[24]!SETTLEPRICE</f>
        <v>2015</v>
      </c>
      <c r="AA25" cm="1">
        <f t="array" ref="AA25">[24]!PRECLOSE</f>
        <v>2042</v>
      </c>
      <c r="AB25" cm="1">
        <f t="array" ref="AB25">[24]!PRESETTLEPRICE</f>
        <v>2016</v>
      </c>
      <c r="AC25" t="s">
        <v>42</v>
      </c>
      <c r="AD25" t="s">
        <v>90</v>
      </c>
      <c r="AE25">
        <v>30</v>
      </c>
      <c r="AF25">
        <v>20260714</v>
      </c>
      <c r="AG25" t="e" cm="1">
        <f t="array" ref="AG25">[24]!MARGIN</f>
        <v>#N/A</v>
      </c>
      <c r="AH25" t="e" cm="1">
        <f t="array" ref="AH25">[24]!FEE</f>
        <v>#N/A</v>
      </c>
      <c r="AJ25" cm="1">
        <f t="array" ref="AJ25">[24]!IMPLYBIDVOLUME1</f>
        <v>0</v>
      </c>
      <c r="AK25" t="e" cm="1">
        <f t="array" ref="AK25">[24]!IMPLYBIDPRICE1</f>
        <v>#N/A</v>
      </c>
      <c r="AL25" t="e" cm="1">
        <f t="array" ref="AL25">[24]!IMPLYASKPRICE1</f>
        <v>#N/A</v>
      </c>
      <c r="AM25" cm="1">
        <f t="array" ref="AM25">[24]!IMPLYASKVOLUME1</f>
        <v>0</v>
      </c>
      <c r="AN25" cm="1">
        <f t="array" ref="AN25">[24]!VOLUMEBIDLOT</f>
        <v>0</v>
      </c>
      <c r="AO25" cm="1">
        <f t="array" ref="AO25">[24]!VOLUMEASKLOT</f>
        <v>0</v>
      </c>
    </row>
    <row r="26" spans="1:41" x14ac:dyDescent="0.25">
      <c r="A26" t="s">
        <v>91</v>
      </c>
      <c r="B26" t="s">
        <v>91</v>
      </c>
      <c r="C26" cm="1">
        <f t="array" ref="C26">[25]!NETVOLUME2200107473</f>
        <v>0</v>
      </c>
      <c r="D26" cm="1">
        <f t="array" ref="D26">[25]!LONGPOSITION2200107473</f>
        <v>0</v>
      </c>
      <c r="E26" cm="1">
        <f t="array" ref="E26">[25]!SHORTPOSITION2200107473</f>
        <v>0</v>
      </c>
      <c r="F26" cm="1">
        <f t="array" ref="F26">[25]!MTMPL2200107473</f>
        <v>0</v>
      </c>
      <c r="G26" cm="1">
        <f t="array" ref="G26">[25]!LASTPRICE</f>
        <v>5924</v>
      </c>
      <c r="H26" cm="1">
        <f t="array" ref="H26">[25]!NETCHANGE</f>
        <v>4</v>
      </c>
      <c r="I26" t="str" cm="1">
        <f t="array" ref="I26">[25]!NETCHANGERATE</f>
        <v>+0.07%</v>
      </c>
      <c r="J26" cm="1">
        <f t="array" ref="J26">[25]!BIDVOLUME1</f>
        <v>231</v>
      </c>
      <c r="K26" cm="1">
        <f t="array" ref="K26">[25]!BIDPRICE1</f>
        <v>5922</v>
      </c>
      <c r="L26" cm="1">
        <f t="array" ref="L26">[25]!ASKPRICE1</f>
        <v>5924</v>
      </c>
      <c r="M26" cm="1">
        <f t="array" ref="M26">[25]!ASKVOLUME1</f>
        <v>78</v>
      </c>
      <c r="N26" cm="1">
        <f t="array" ref="N26">[25]!OPENPRICE</f>
        <v>5894</v>
      </c>
      <c r="O26" cm="1">
        <f t="array" ref="O26">[25]!HIGH</f>
        <v>5934</v>
      </c>
      <c r="P26" cm="1">
        <f t="array" ref="P26">[25]!LOW</f>
        <v>5884</v>
      </c>
      <c r="Q26" cm="1">
        <f t="array" ref="Q26">[25]!TRADEVOLUME</f>
        <v>158248</v>
      </c>
      <c r="R26" cm="1">
        <f t="array" ref="R26">[25]!POSIVOL</f>
        <v>414455</v>
      </c>
      <c r="S26" cm="1">
        <f t="array" ref="S26">[25]!POSIVOLCHANGE</f>
        <v>-2</v>
      </c>
      <c r="T26" cm="1">
        <f t="array" ref="T26">[25]!POSIVOLCHANGEDAILY</f>
        <v>2619</v>
      </c>
      <c r="U26" t="str" cm="1">
        <f t="array" ref="U26">[25]!INST_STATE</f>
        <v>连续交易</v>
      </c>
      <c r="V26" t="str" cm="1">
        <f t="array" ref="V26">[25]!UPDATETIME</f>
        <v>22:52:40.000</v>
      </c>
      <c r="W26" cm="1">
        <f t="array" ref="W26">[25]!UPPERLIMITPRICE</f>
        <v>6336</v>
      </c>
      <c r="X26" cm="1">
        <f t="array" ref="X26">[25]!LOWERLIMITPRICE</f>
        <v>5504</v>
      </c>
      <c r="Y26" t="e" cm="1">
        <f t="array" ref="Y26">[25]!CLOSEPRICE</f>
        <v>#N/A</v>
      </c>
      <c r="Z26" t="e" cm="1">
        <f t="array" ref="Z26">[25]!SETTLEPRICE</f>
        <v>#N/A</v>
      </c>
      <c r="AA26" cm="1">
        <f t="array" ref="AA26">[25]!PRECLOSE</f>
        <v>5908</v>
      </c>
      <c r="AB26" cm="1">
        <f t="array" ref="AB26">[25]!PRESETTLEPRICE</f>
        <v>5920</v>
      </c>
      <c r="AC26" t="s">
        <v>42</v>
      </c>
      <c r="AD26" t="s">
        <v>92</v>
      </c>
      <c r="AE26">
        <v>5</v>
      </c>
      <c r="AF26">
        <v>20260714</v>
      </c>
      <c r="AG26" t="e" cm="1">
        <f t="array" ref="AG26">[25]!MARGIN</f>
        <v>#N/A</v>
      </c>
      <c r="AH26" t="e" cm="1">
        <f t="array" ref="AH26">[25]!FEE</f>
        <v>#N/A</v>
      </c>
      <c r="AJ26" cm="1">
        <f t="array" ref="AJ26">[25]!IMPLYBIDVOLUME1</f>
        <v>0</v>
      </c>
      <c r="AK26" t="e" cm="1">
        <f t="array" ref="AK26">[25]!IMPLYBIDPRICE1</f>
        <v>#N/A</v>
      </c>
      <c r="AL26" t="e" cm="1">
        <f t="array" ref="AL26">[25]!IMPLYASKPRICE1</f>
        <v>#N/A</v>
      </c>
      <c r="AM26" cm="1">
        <f t="array" ref="AM26">[25]!IMPLYASKVOLUME1</f>
        <v>0</v>
      </c>
      <c r="AN26" cm="1">
        <f t="array" ref="AN26">[25]!VOLUMEBIDLOT</f>
        <v>0</v>
      </c>
      <c r="AO26" cm="1">
        <f t="array" ref="AO26">[25]!VOLUMEASKLOT</f>
        <v>0</v>
      </c>
    </row>
    <row r="27" spans="1:41" x14ac:dyDescent="0.25">
      <c r="A27" t="s">
        <v>93</v>
      </c>
      <c r="B27" t="s">
        <v>93</v>
      </c>
      <c r="C27" cm="1">
        <f t="array" ref="C27">[26]!NETVOLUME2200107473</f>
        <v>0</v>
      </c>
      <c r="D27" cm="1">
        <f t="array" ref="D27">[26]!LONGPOSITION2200107473</f>
        <v>0</v>
      </c>
      <c r="E27" cm="1">
        <f t="array" ref="E27">[26]!SHORTPOSITION2200107473</f>
        <v>0</v>
      </c>
      <c r="F27" cm="1">
        <f t="array" ref="F27">[26]!MTMPL2200107473</f>
        <v>0</v>
      </c>
      <c r="G27" cm="1">
        <f t="array" ref="G27">[26]!LASTPRICE</f>
        <v>5398</v>
      </c>
      <c r="H27" cm="1">
        <f t="array" ref="H27">[26]!NETCHANGE</f>
        <v>-25</v>
      </c>
      <c r="I27" t="str" cm="1">
        <f t="array" ref="I27">[26]!NETCHANGERATE</f>
        <v>-0.46%</v>
      </c>
      <c r="J27" cm="1">
        <f t="array" ref="J27">[26]!BIDVOLUME1</f>
        <v>177</v>
      </c>
      <c r="K27" cm="1">
        <f t="array" ref="K27">[26]!BIDPRICE1</f>
        <v>5397</v>
      </c>
      <c r="L27" cm="1">
        <f t="array" ref="L27">[26]!ASKPRICE1</f>
        <v>5398</v>
      </c>
      <c r="M27" cm="1">
        <f t="array" ref="M27">[26]!ASKVOLUME1</f>
        <v>215</v>
      </c>
      <c r="N27" cm="1">
        <f t="array" ref="N27">[26]!OPENPRICE</f>
        <v>5437</v>
      </c>
      <c r="O27" cm="1">
        <f t="array" ref="O27">[26]!HIGH</f>
        <v>5439</v>
      </c>
      <c r="P27" cm="1">
        <f t="array" ref="P27">[26]!LOW</f>
        <v>5381</v>
      </c>
      <c r="Q27" cm="1">
        <f t="array" ref="Q27">[26]!TRADEVOLUME</f>
        <v>412743</v>
      </c>
      <c r="R27" cm="1">
        <f t="array" ref="R27">[26]!POSIVOL</f>
        <v>641943</v>
      </c>
      <c r="S27" cm="1">
        <f t="array" ref="S27">[26]!POSIVOLCHANGE</f>
        <v>0</v>
      </c>
      <c r="T27" cm="1">
        <f t="array" ref="T27">[26]!POSIVOLCHANGEDAILY</f>
        <v>10236</v>
      </c>
      <c r="U27" t="str" cm="1">
        <f t="array" ref="U27">[26]!INST_STATE</f>
        <v>连续交易</v>
      </c>
      <c r="V27" t="str" cm="1">
        <f t="array" ref="V27">[26]!UPDATETIME</f>
        <v>22:52:40.000</v>
      </c>
      <c r="W27" cm="1">
        <f t="array" ref="W27">[26]!UPPERLIMITPRICE</f>
        <v>5695</v>
      </c>
      <c r="X27" cm="1">
        <f t="array" ref="X27">[26]!LOWERLIMITPRICE</f>
        <v>5151</v>
      </c>
      <c r="Y27" t="e" cm="1">
        <f t="array" ref="Y27">[26]!CLOSEPRICE</f>
        <v>#N/A</v>
      </c>
      <c r="Z27" cm="1">
        <f t="array" ref="Z27">[26]!SETTLEPRICE</f>
        <v>5430</v>
      </c>
      <c r="AA27" cm="1">
        <f t="array" ref="AA27">[26]!PRECLOSE</f>
        <v>5430</v>
      </c>
      <c r="AB27" cm="1">
        <f t="array" ref="AB27">[26]!PRESETTLEPRICE</f>
        <v>5423</v>
      </c>
      <c r="AC27" t="s">
        <v>42</v>
      </c>
      <c r="AD27" t="s">
        <v>94</v>
      </c>
      <c r="AE27">
        <v>10</v>
      </c>
      <c r="AF27">
        <v>20260914</v>
      </c>
      <c r="AG27" t="e" cm="1">
        <f t="array" ref="AG27">[26]!MARGIN</f>
        <v>#N/A</v>
      </c>
      <c r="AH27" t="e" cm="1">
        <f t="array" ref="AH27">[26]!FEE</f>
        <v>#N/A</v>
      </c>
      <c r="AJ27" cm="1">
        <f t="array" ref="AJ27">[26]!IMPLYBIDVOLUME1</f>
        <v>0</v>
      </c>
      <c r="AK27" t="e" cm="1">
        <f t="array" ref="AK27">[26]!IMPLYBIDPRICE1</f>
        <v>#N/A</v>
      </c>
      <c r="AL27" t="e" cm="1">
        <f t="array" ref="AL27">[26]!IMPLYASKPRICE1</f>
        <v>#N/A</v>
      </c>
      <c r="AM27" cm="1">
        <f t="array" ref="AM27">[26]!IMPLYASKVOLUME1</f>
        <v>0</v>
      </c>
      <c r="AN27" cm="1">
        <f t="array" ref="AN27">[26]!VOLUMEBIDLOT</f>
        <v>0</v>
      </c>
      <c r="AO27" cm="1">
        <f t="array" ref="AO27">[26]!VOLUMEASKLOT</f>
        <v>0</v>
      </c>
    </row>
    <row r="28" spans="1:41" x14ac:dyDescent="0.25">
      <c r="A28" t="s">
        <v>95</v>
      </c>
      <c r="B28" t="s">
        <v>95</v>
      </c>
      <c r="C28" cm="1">
        <f t="array" ref="C28">[27]!NETVOLUME2200107473</f>
        <v>0</v>
      </c>
      <c r="D28" cm="1">
        <f t="array" ref="D28">[27]!LONGPOSITION2200107473</f>
        <v>0</v>
      </c>
      <c r="E28" cm="1">
        <f t="array" ref="E28">[27]!SHORTPOSITION2200107473</f>
        <v>0</v>
      </c>
      <c r="F28" cm="1">
        <f t="array" ref="F28">[27]!MTMPL2200107473</f>
        <v>0</v>
      </c>
      <c r="G28" cm="1">
        <f t="array" ref="G28">[27]!LASTPRICE</f>
        <v>109.14</v>
      </c>
      <c r="H28" cm="1">
        <f t="array" ref="H28">[27]!NETCHANGE</f>
        <v>4.0000000000006253E-2</v>
      </c>
      <c r="I28" t="str" cm="1">
        <f t="array" ref="I28">[27]!NETCHANGERATE</f>
        <v>+0.04%</v>
      </c>
      <c r="J28" cm="1">
        <f t="array" ref="J28">[27]!BIDVOLUME1</f>
        <v>82</v>
      </c>
      <c r="K28" cm="1">
        <f t="array" ref="K28">[27]!BIDPRICE1</f>
        <v>109.13500000000001</v>
      </c>
      <c r="L28" cm="1">
        <f t="array" ref="L28">[27]!ASKPRICE1</f>
        <v>109.14</v>
      </c>
      <c r="M28" cm="1">
        <f t="array" ref="M28">[27]!ASKVOLUME1</f>
        <v>229</v>
      </c>
      <c r="N28" cm="1">
        <f t="array" ref="N28">[27]!OPENPRICE</f>
        <v>109.08</v>
      </c>
      <c r="O28" cm="1">
        <f t="array" ref="O28">[27]!HIGH</f>
        <v>109.205</v>
      </c>
      <c r="P28" cm="1">
        <f t="array" ref="P28">[27]!LOW</f>
        <v>109.06</v>
      </c>
      <c r="Q28" cm="1">
        <f t="array" ref="Q28">[27]!TRADEVOLUME</f>
        <v>77435</v>
      </c>
      <c r="R28" cm="1">
        <f t="array" ref="R28">[27]!POSIVOL</f>
        <v>244184</v>
      </c>
      <c r="S28" cm="1">
        <f t="array" ref="S28">[27]!POSIVOLCHANGE</f>
        <v>1</v>
      </c>
      <c r="T28" cm="1">
        <f t="array" ref="T28">[27]!POSIVOLCHANGEDAILY</f>
        <v>-8932</v>
      </c>
      <c r="U28" t="str" cm="1">
        <f t="array" ref="U28">[27]!INST_STATE</f>
        <v>连续交易</v>
      </c>
      <c r="V28" t="str" cm="1">
        <f t="array" ref="V28">[27]!UPDATETIME</f>
        <v>22:52:40.500</v>
      </c>
      <c r="W28" cm="1">
        <f t="array" ref="W28">[27]!UPPERLIMITPRICE</f>
        <v>111.28</v>
      </c>
      <c r="X28" cm="1">
        <f t="array" ref="X28">[27]!LOWERLIMITPRICE</f>
        <v>106.92</v>
      </c>
      <c r="Y28" t="e" cm="1">
        <f t="array" ref="Y28">[27]!CLOSEPRICE</f>
        <v>#N/A</v>
      </c>
      <c r="Z28" t="e" cm="1">
        <f t="array" ref="Z28">[27]!SETTLEPRICE</f>
        <v>#N/A</v>
      </c>
      <c r="AA28" cm="1">
        <f t="array" ref="AA28">[27]!PRECLOSE</f>
        <v>109.11</v>
      </c>
      <c r="AB28" cm="1">
        <f t="array" ref="AB28">[27]!PRESETTLEPRICE</f>
        <v>109.1</v>
      </c>
      <c r="AC28" t="s">
        <v>53</v>
      </c>
      <c r="AD28" t="s">
        <v>96</v>
      </c>
      <c r="AE28">
        <v>10000</v>
      </c>
      <c r="AF28">
        <v>20260612</v>
      </c>
      <c r="AG28" t="e" cm="1">
        <f t="array" ref="AG28">[27]!MARGIN</f>
        <v>#N/A</v>
      </c>
      <c r="AH28" t="e" cm="1">
        <f t="array" ref="AH28">[27]!FEE</f>
        <v>#N/A</v>
      </c>
      <c r="AJ28" cm="1">
        <f t="array" ref="AJ28">[27]!IMPLYBIDVOLUME1</f>
        <v>0</v>
      </c>
      <c r="AK28" t="e" cm="1">
        <f t="array" ref="AK28">[27]!IMPLYBIDPRICE1</f>
        <v>#N/A</v>
      </c>
      <c r="AL28" t="e" cm="1">
        <f t="array" ref="AL28">[27]!IMPLYASKPRICE1</f>
        <v>#N/A</v>
      </c>
      <c r="AM28" cm="1">
        <f t="array" ref="AM28">[27]!IMPLYASKVOLUME1</f>
        <v>0</v>
      </c>
      <c r="AN28" cm="1">
        <f t="array" ref="AN28">[27]!VOLUMEBIDLOT</f>
        <v>0</v>
      </c>
      <c r="AO28" cm="1">
        <f t="array" ref="AO28">[27]!VOLUMEASKLOT</f>
        <v>0</v>
      </c>
    </row>
    <row r="29" spans="1:41" x14ac:dyDescent="0.25">
      <c r="A29" t="s">
        <v>97</v>
      </c>
      <c r="B29" t="s">
        <v>97</v>
      </c>
      <c r="C29" cm="1">
        <f t="array" ref="C29">[28]!NETVOLUME2200107473</f>
        <v>0</v>
      </c>
      <c r="D29" cm="1">
        <f t="array" ref="D29">[28]!LONGPOSITION2200107473</f>
        <v>0</v>
      </c>
      <c r="E29" cm="1">
        <f t="array" ref="E29">[28]!SHORTPOSITION2200107473</f>
        <v>0</v>
      </c>
      <c r="F29" cm="1">
        <f t="array" ref="F29">[28]!MTMPL2200107473</f>
        <v>0</v>
      </c>
      <c r="G29" cm="1">
        <f t="array" ref="G29">[28]!LASTPRICE</f>
        <v>6384</v>
      </c>
      <c r="H29" cm="1">
        <f t="array" ref="H29">[28]!NETCHANGE</f>
        <v>8</v>
      </c>
      <c r="I29" t="str" cm="1">
        <f t="array" ref="I29">[28]!NETCHANGERATE</f>
        <v>+0.13%</v>
      </c>
      <c r="J29" cm="1">
        <f t="array" ref="J29">[28]!BIDVOLUME1</f>
        <v>49</v>
      </c>
      <c r="K29" cm="1">
        <f t="array" ref="K29">[28]!BIDPRICE1</f>
        <v>6384</v>
      </c>
      <c r="L29" cm="1">
        <f t="array" ref="L29">[28]!ASKPRICE1</f>
        <v>6386</v>
      </c>
      <c r="M29" cm="1">
        <f t="array" ref="M29">[28]!ASKVOLUME1</f>
        <v>154</v>
      </c>
      <c r="N29" cm="1">
        <f t="array" ref="N29">[28]!OPENPRICE</f>
        <v>6414</v>
      </c>
      <c r="O29" cm="1">
        <f t="array" ref="O29">[28]!HIGH</f>
        <v>6442</v>
      </c>
      <c r="P29" cm="1">
        <f t="array" ref="P29">[28]!LOW</f>
        <v>6354</v>
      </c>
      <c r="Q29" cm="1">
        <f t="array" ref="Q29">[28]!TRADEVOLUME</f>
        <v>750871</v>
      </c>
      <c r="R29" cm="1">
        <f t="array" ref="R29">[28]!POSIVOL</f>
        <v>1066692</v>
      </c>
      <c r="S29" cm="1">
        <f t="array" ref="S29">[28]!POSIVOLCHANGE</f>
        <v>-2</v>
      </c>
      <c r="T29" cm="1">
        <f t="array" ref="T29">[28]!POSIVOLCHANGEDAILY</f>
        <v>-2956</v>
      </c>
      <c r="U29" t="str" cm="1">
        <f t="array" ref="U29">[28]!INST_STATE</f>
        <v>连续交易</v>
      </c>
      <c r="V29" t="str" cm="1">
        <f t="array" ref="V29">[28]!UPDATETIME</f>
        <v>22:52:40.000</v>
      </c>
      <c r="W29" cm="1">
        <f t="array" ref="W29">[28]!UPPERLIMITPRICE</f>
        <v>7078</v>
      </c>
      <c r="X29" cm="1">
        <f t="array" ref="X29">[28]!LOWERLIMITPRICE</f>
        <v>5674</v>
      </c>
      <c r="Y29" t="e" cm="1">
        <f t="array" ref="Y29">[28]!CLOSEPRICE</f>
        <v>#N/A</v>
      </c>
      <c r="Z29" cm="1">
        <f t="array" ref="Z29">[28]!SETTLEPRICE</f>
        <v>6394</v>
      </c>
      <c r="AA29" cm="1">
        <f t="array" ref="AA29">[28]!PRECLOSE</f>
        <v>6410</v>
      </c>
      <c r="AB29" cm="1">
        <f t="array" ref="AB29">[28]!PRESETTLEPRICE</f>
        <v>6376</v>
      </c>
      <c r="AC29" t="s">
        <v>42</v>
      </c>
      <c r="AD29" t="s">
        <v>98</v>
      </c>
      <c r="AE29">
        <v>5</v>
      </c>
      <c r="AF29">
        <v>20260914</v>
      </c>
      <c r="AG29" t="e" cm="1">
        <f t="array" ref="AG29">[28]!MARGIN</f>
        <v>#N/A</v>
      </c>
      <c r="AH29" t="e" cm="1">
        <f t="array" ref="AH29">[28]!FEE</f>
        <v>#N/A</v>
      </c>
      <c r="AJ29" cm="1">
        <f t="array" ref="AJ29">[28]!IMPLYBIDVOLUME1</f>
        <v>0</v>
      </c>
      <c r="AK29" t="e" cm="1">
        <f t="array" ref="AK29">[28]!IMPLYBIDPRICE1</f>
        <v>#N/A</v>
      </c>
      <c r="AL29" t="e" cm="1">
        <f t="array" ref="AL29">[28]!IMPLYASKPRICE1</f>
        <v>#N/A</v>
      </c>
      <c r="AM29" cm="1">
        <f t="array" ref="AM29">[28]!IMPLYASKVOLUME1</f>
        <v>0</v>
      </c>
      <c r="AN29" cm="1">
        <f t="array" ref="AN29">[28]!VOLUMEBIDLOT</f>
        <v>0</v>
      </c>
      <c r="AO29" cm="1">
        <f t="array" ref="AO29">[28]!VOLUMEASKLOT</f>
        <v>0</v>
      </c>
    </row>
    <row r="30" spans="1:41" x14ac:dyDescent="0.25">
      <c r="A30" t="s">
        <v>99</v>
      </c>
      <c r="B30" t="s">
        <v>99</v>
      </c>
      <c r="C30" cm="1">
        <f t="array" ref="C30">[29]!NETVOLUME2200107473</f>
        <v>0</v>
      </c>
      <c r="D30" cm="1">
        <f t="array" ref="D30">[29]!LONGPOSITION2200107473</f>
        <v>0</v>
      </c>
      <c r="E30" cm="1">
        <f t="array" ref="E30">[29]!SHORTPOSITION2200107473</f>
        <v>0</v>
      </c>
      <c r="F30" cm="1">
        <f t="array" ref="F30">[29]!MTMPL2200107473</f>
        <v>0</v>
      </c>
      <c r="G30" cm="1">
        <f t="array" ref="G30">[29]!LASTPRICE</f>
        <v>106.575</v>
      </c>
      <c r="H30" cm="1">
        <f t="array" ref="H30">[29]!NETCHANGE</f>
        <v>4.5000000000001705E-2</v>
      </c>
      <c r="I30" t="str" cm="1">
        <f t="array" ref="I30">[29]!NETCHANGERATE</f>
        <v>+0.04%</v>
      </c>
      <c r="J30" cm="1">
        <f t="array" ref="J30">[29]!BIDVOLUME1</f>
        <v>235</v>
      </c>
      <c r="K30" cm="1">
        <f t="array" ref="K30">[29]!BIDPRICE1</f>
        <v>106.575</v>
      </c>
      <c r="L30" cm="1">
        <f t="array" ref="L30">[29]!ASKPRICE1</f>
        <v>106.58</v>
      </c>
      <c r="M30" cm="1">
        <f t="array" ref="M30">[29]!ASKVOLUME1</f>
        <v>198</v>
      </c>
      <c r="N30" cm="1">
        <f t="array" ref="N30">[29]!OPENPRICE</f>
        <v>106.52500000000001</v>
      </c>
      <c r="O30" cm="1">
        <f t="array" ref="O30">[29]!HIGH</f>
        <v>106.595</v>
      </c>
      <c r="P30" cm="1">
        <f t="array" ref="P30">[29]!LOW</f>
        <v>106.5</v>
      </c>
      <c r="Q30" cm="1">
        <f t="array" ref="Q30">[29]!TRADEVOLUME</f>
        <v>54875</v>
      </c>
      <c r="R30" cm="1">
        <f t="array" ref="R30">[29]!POSIVOL</f>
        <v>168264</v>
      </c>
      <c r="S30" cm="1">
        <f t="array" ref="S30">[29]!POSIVOLCHANGE</f>
        <v>0</v>
      </c>
      <c r="T30" cm="1">
        <f t="array" ref="T30">[29]!POSIVOLCHANGEDAILY</f>
        <v>-4597</v>
      </c>
      <c r="U30" t="str" cm="1">
        <f t="array" ref="U30">[29]!INST_STATE</f>
        <v>连续交易</v>
      </c>
      <c r="V30" t="str" cm="1">
        <f t="array" ref="V30">[29]!UPDATETIME</f>
        <v>22:52:40.000</v>
      </c>
      <c r="W30" cm="1">
        <f t="array" ref="W30">[29]!UPPERLIMITPRICE</f>
        <v>107.80500000000001</v>
      </c>
      <c r="X30" cm="1">
        <f t="array" ref="X30">[29]!LOWERLIMITPRICE</f>
        <v>105.255</v>
      </c>
      <c r="Y30" t="e" cm="1">
        <f t="array" ref="Y30">[29]!CLOSEPRICE</f>
        <v>#N/A</v>
      </c>
      <c r="Z30" t="e" cm="1">
        <f t="array" ref="Z30">[29]!SETTLEPRICE</f>
        <v>#N/A</v>
      </c>
      <c r="AA30" cm="1">
        <f t="array" ref="AA30">[29]!PRECLOSE</f>
        <v>106.52500000000001</v>
      </c>
      <c r="AB30" cm="1">
        <f t="array" ref="AB30">[29]!PRESETTLEPRICE</f>
        <v>106.53</v>
      </c>
      <c r="AC30" t="s">
        <v>53</v>
      </c>
      <c r="AD30" t="s">
        <v>100</v>
      </c>
      <c r="AE30">
        <v>10000</v>
      </c>
      <c r="AF30">
        <v>20260612</v>
      </c>
      <c r="AG30" t="e" cm="1">
        <f t="array" ref="AG30">[29]!MARGIN</f>
        <v>#N/A</v>
      </c>
      <c r="AH30" t="e" cm="1">
        <f t="array" ref="AH30">[29]!FEE</f>
        <v>#N/A</v>
      </c>
      <c r="AJ30" cm="1">
        <f t="array" ref="AJ30">[29]!IMPLYBIDVOLUME1</f>
        <v>0</v>
      </c>
      <c r="AK30" t="e" cm="1">
        <f t="array" ref="AK30">[29]!IMPLYBIDPRICE1</f>
        <v>#N/A</v>
      </c>
      <c r="AL30" t="e" cm="1">
        <f t="array" ref="AL30">[29]!IMPLYASKPRICE1</f>
        <v>#N/A</v>
      </c>
      <c r="AM30" cm="1">
        <f t="array" ref="AM30">[29]!IMPLYASKVOLUME1</f>
        <v>0</v>
      </c>
      <c r="AN30" cm="1">
        <f t="array" ref="AN30">[29]!VOLUMEBIDLOT</f>
        <v>0</v>
      </c>
      <c r="AO30" cm="1">
        <f t="array" ref="AO30">[29]!VOLUMEASKLOT</f>
        <v>0</v>
      </c>
    </row>
    <row r="31" spans="1:41" x14ac:dyDescent="0.25">
      <c r="A31" t="s">
        <v>101</v>
      </c>
      <c r="B31" t="s">
        <v>101</v>
      </c>
      <c r="C31" cm="1">
        <f t="array" ref="C31">[30]!NETVOLUME2200107473</f>
        <v>0</v>
      </c>
      <c r="D31" cm="1">
        <f t="array" ref="D31">[30]!LONGPOSITION2200107473</f>
        <v>0</v>
      </c>
      <c r="E31" cm="1">
        <f t="array" ref="E31">[30]!SHORTPOSITION2200107473</f>
        <v>0</v>
      </c>
      <c r="F31" cm="1">
        <f t="array" ref="F31">[30]!MTMPL2200107473</f>
        <v>0</v>
      </c>
      <c r="G31" cm="1">
        <f t="array" ref="G31">[30]!LASTPRICE</f>
        <v>113.35</v>
      </c>
      <c r="H31" cm="1">
        <f t="array" ref="H31">[30]!NETCHANGE</f>
        <v>0</v>
      </c>
      <c r="I31" t="str" cm="1">
        <f t="array" ref="I31">[30]!NETCHANGERATE</f>
        <v>0.00%</v>
      </c>
      <c r="J31" cm="1">
        <f t="array" ref="J31">[30]!BIDVOLUME1</f>
        <v>18</v>
      </c>
      <c r="K31" cm="1">
        <f t="array" ref="K31">[30]!BIDPRICE1</f>
        <v>113.35</v>
      </c>
      <c r="L31" cm="1">
        <f t="array" ref="L31">[30]!ASKPRICE1</f>
        <v>113.36</v>
      </c>
      <c r="M31" cm="1">
        <f t="array" ref="M31">[30]!ASKVOLUME1</f>
        <v>74</v>
      </c>
      <c r="N31" cm="1">
        <f t="array" ref="N31">[30]!OPENPRICE</f>
        <v>113.3</v>
      </c>
      <c r="O31" cm="1">
        <f t="array" ref="O31">[30]!HIGH</f>
        <v>113.51</v>
      </c>
      <c r="P31" cm="1">
        <f t="array" ref="P31">[30]!LOW</f>
        <v>113.22</v>
      </c>
      <c r="Q31" cm="1">
        <f t="array" ref="Q31">[30]!TRADEVOLUME</f>
        <v>74930</v>
      </c>
      <c r="R31" cm="1">
        <f t="array" ref="R31">[30]!POSIVOL</f>
        <v>78968</v>
      </c>
      <c r="S31" cm="1">
        <f t="array" ref="S31">[30]!POSIVOLCHANGE</f>
        <v>0</v>
      </c>
      <c r="T31" cm="1">
        <f t="array" ref="T31">[30]!POSIVOLCHANGEDAILY</f>
        <v>-13501</v>
      </c>
      <c r="U31" t="str" cm="1">
        <f t="array" ref="U31">[30]!INST_STATE</f>
        <v>连续交易</v>
      </c>
      <c r="V31" t="str" cm="1">
        <f t="array" ref="V31">[30]!UPDATETIME</f>
        <v>22:52:40.500</v>
      </c>
      <c r="W31" cm="1">
        <f t="array" ref="W31">[30]!UPPERLIMITPRICE</f>
        <v>117.31</v>
      </c>
      <c r="X31" cm="1">
        <f t="array" ref="X31">[30]!LOWERLIMITPRICE</f>
        <v>109.39</v>
      </c>
      <c r="Y31" t="e" cm="1">
        <f t="array" ref="Y31">[30]!CLOSEPRICE</f>
        <v>#N/A</v>
      </c>
      <c r="Z31" t="e" cm="1">
        <f t="array" ref="Z31">[30]!SETTLEPRICE</f>
        <v>#N/A</v>
      </c>
      <c r="AA31" cm="1">
        <f t="array" ref="AA31">[30]!PRECLOSE</f>
        <v>113.43</v>
      </c>
      <c r="AB31" cm="1">
        <f t="array" ref="AB31">[30]!PRESETTLEPRICE</f>
        <v>113.35</v>
      </c>
      <c r="AC31" t="s">
        <v>53</v>
      </c>
      <c r="AD31" t="s">
        <v>102</v>
      </c>
      <c r="AE31">
        <v>10000</v>
      </c>
      <c r="AF31">
        <v>20260612</v>
      </c>
      <c r="AG31" t="e" cm="1">
        <f t="array" ref="AG31">[30]!MARGIN</f>
        <v>#N/A</v>
      </c>
      <c r="AH31" t="e" cm="1">
        <f t="array" ref="AH31">[30]!FEE</f>
        <v>#N/A</v>
      </c>
      <c r="AJ31" cm="1">
        <f t="array" ref="AJ31">[30]!IMPLYBIDVOLUME1</f>
        <v>0</v>
      </c>
      <c r="AK31" t="e" cm="1">
        <f t="array" ref="AK31">[30]!IMPLYBIDPRICE1</f>
        <v>#N/A</v>
      </c>
      <c r="AL31" t="e" cm="1">
        <f t="array" ref="AL31">[30]!IMPLYASKPRICE1</f>
        <v>#N/A</v>
      </c>
      <c r="AM31" cm="1">
        <f t="array" ref="AM31">[30]!IMPLYASKVOLUME1</f>
        <v>0</v>
      </c>
      <c r="AN31" cm="1">
        <f t="array" ref="AN31">[30]!VOLUMEBIDLOT</f>
        <v>0</v>
      </c>
      <c r="AO31" cm="1">
        <f t="array" ref="AO31">[30]!VOLUMEASKLOT</f>
        <v>0</v>
      </c>
    </row>
    <row r="32" spans="1:41" x14ac:dyDescent="0.25">
      <c r="A32" t="s">
        <v>103</v>
      </c>
      <c r="B32" t="s">
        <v>103</v>
      </c>
      <c r="C32" cm="1">
        <f t="array" ref="C32">[31]!NETVOLUME2200107473</f>
        <v>0</v>
      </c>
      <c r="D32" cm="1">
        <f t="array" ref="D32">[31]!LONGPOSITION2200107473</f>
        <v>0</v>
      </c>
      <c r="E32" cm="1">
        <f t="array" ref="E32">[31]!SHORTPOSITION2200107473</f>
        <v>0</v>
      </c>
      <c r="F32" cm="1">
        <f t="array" ref="F32">[31]!MTMPL2200107473</f>
        <v>0</v>
      </c>
      <c r="G32" cm="1">
        <f t="array" ref="G32">[31]!LASTPRICE</f>
        <v>102.68600000000001</v>
      </c>
      <c r="H32" cm="1">
        <f t="array" ref="H32">[31]!NETCHANGE</f>
        <v>2.2000000000005571E-2</v>
      </c>
      <c r="I32" t="str" cm="1">
        <f t="array" ref="I32">[31]!NETCHANGERATE</f>
        <v>+0.02%</v>
      </c>
      <c r="J32" cm="1">
        <f t="array" ref="J32">[31]!BIDVOLUME1</f>
        <v>99</v>
      </c>
      <c r="K32" cm="1">
        <f t="array" ref="K32">[31]!BIDPRICE1</f>
        <v>102.684</v>
      </c>
      <c r="L32" cm="1">
        <f t="array" ref="L32">[31]!ASKPRICE1</f>
        <v>102.68600000000001</v>
      </c>
      <c r="M32" cm="1">
        <f t="array" ref="M32">[31]!ASKVOLUME1</f>
        <v>61</v>
      </c>
      <c r="N32" cm="1">
        <f t="array" ref="N32">[31]!OPENPRICE</f>
        <v>102.66</v>
      </c>
      <c r="O32" cm="1">
        <f t="array" ref="O32">[31]!HIGH</f>
        <v>102.69</v>
      </c>
      <c r="P32" cm="1">
        <f t="array" ref="P32">[31]!LOW</f>
        <v>102.658</v>
      </c>
      <c r="Q32" cm="1">
        <f t="array" ref="Q32">[31]!TRADEVOLUME</f>
        <v>26326</v>
      </c>
      <c r="R32" cm="1">
        <f t="array" ref="R32">[31]!POSIVOL</f>
        <v>61694</v>
      </c>
      <c r="S32" cm="1">
        <f t="array" ref="S32">[31]!POSIVOLCHANGE</f>
        <v>0</v>
      </c>
      <c r="T32" cm="1">
        <f t="array" ref="T32">[31]!POSIVOLCHANGEDAILY</f>
        <v>-2263</v>
      </c>
      <c r="U32" t="str" cm="1">
        <f t="array" ref="U32">[31]!INST_STATE</f>
        <v>连续交易</v>
      </c>
      <c r="V32" t="str" cm="1">
        <f t="array" ref="V32">[31]!UPDATETIME</f>
        <v>22:52:38.500</v>
      </c>
      <c r="W32" cm="1">
        <f t="array" ref="W32">[31]!UPPERLIMITPRICE</f>
        <v>103.176</v>
      </c>
      <c r="X32" cm="1">
        <f t="array" ref="X32">[31]!LOWERLIMITPRICE</f>
        <v>102.152</v>
      </c>
      <c r="Y32" t="e" cm="1">
        <f t="array" ref="Y32">[31]!CLOSEPRICE</f>
        <v>#N/A</v>
      </c>
      <c r="Z32" t="e" cm="1">
        <f t="array" ref="Z32">[31]!SETTLEPRICE</f>
        <v>#N/A</v>
      </c>
      <c r="AA32" cm="1">
        <f t="array" ref="AA32">[31]!PRECLOSE</f>
        <v>102.666</v>
      </c>
      <c r="AB32" cm="1">
        <f t="array" ref="AB32">[31]!PRESETTLEPRICE</f>
        <v>102.664</v>
      </c>
      <c r="AC32" t="s">
        <v>53</v>
      </c>
      <c r="AD32" t="s">
        <v>104</v>
      </c>
      <c r="AE32">
        <v>20000</v>
      </c>
      <c r="AF32">
        <v>20260612</v>
      </c>
      <c r="AG32" t="e" cm="1">
        <f t="array" ref="AG32">[31]!MARGIN</f>
        <v>#N/A</v>
      </c>
      <c r="AH32" t="e" cm="1">
        <f t="array" ref="AH32">[31]!FEE</f>
        <v>#N/A</v>
      </c>
      <c r="AJ32" cm="1">
        <f t="array" ref="AJ32">[31]!IMPLYBIDVOLUME1</f>
        <v>0</v>
      </c>
      <c r="AK32" t="e" cm="1">
        <f t="array" ref="AK32">[31]!IMPLYBIDPRICE1</f>
        <v>#N/A</v>
      </c>
      <c r="AL32" t="e" cm="1">
        <f t="array" ref="AL32">[31]!IMPLYASKPRICE1</f>
        <v>#N/A</v>
      </c>
      <c r="AM32" cm="1">
        <f t="array" ref="AM32">[31]!IMPLYASKVOLUME1</f>
        <v>0</v>
      </c>
      <c r="AN32" cm="1">
        <f t="array" ref="AN32">[31]!VOLUMEBIDLOT</f>
        <v>0</v>
      </c>
      <c r="AO32" cm="1">
        <f t="array" ref="AO32">[31]!VOLUMEASKLOT</f>
        <v>0</v>
      </c>
    </row>
    <row r="33" spans="1:41" x14ac:dyDescent="0.25">
      <c r="A33" t="s">
        <v>105</v>
      </c>
      <c r="B33" t="s">
        <v>105</v>
      </c>
      <c r="C33" cm="1">
        <f t="array" ref="C33">[32]!NETVOLUME2200107473</f>
        <v>0</v>
      </c>
      <c r="D33" cm="1">
        <f t="array" ref="D33">[32]!LONGPOSITION2200107473</f>
        <v>0</v>
      </c>
      <c r="E33" cm="1">
        <f t="array" ref="E33">[32]!SHORTPOSITION2200107473</f>
        <v>0</v>
      </c>
      <c r="F33" cm="1">
        <f t="array" ref="F33">[32]!MTMPL2200107473</f>
        <v>0</v>
      </c>
      <c r="G33" cm="1">
        <f t="array" ref="G33">[32]!LASTPRICE</f>
        <v>1847</v>
      </c>
      <c r="H33" cm="1">
        <f t="array" ref="H33">[32]!NETCHANGE</f>
        <v>24</v>
      </c>
      <c r="I33" t="str" cm="1">
        <f t="array" ref="I33">[32]!NETCHANGERATE</f>
        <v>+1.32%</v>
      </c>
      <c r="J33" cm="1">
        <f t="array" ref="J33">[32]!BIDVOLUME1</f>
        <v>307</v>
      </c>
      <c r="K33" cm="1">
        <f t="array" ref="K33">[32]!BIDPRICE1</f>
        <v>1846</v>
      </c>
      <c r="L33" cm="1">
        <f t="array" ref="L33">[32]!ASKPRICE1</f>
        <v>1847</v>
      </c>
      <c r="M33" cm="1">
        <f t="array" ref="M33">[32]!ASKVOLUME1</f>
        <v>460</v>
      </c>
      <c r="N33" cm="1">
        <f t="array" ref="N33">[32]!OPENPRICE</f>
        <v>1820</v>
      </c>
      <c r="O33" cm="1">
        <f t="array" ref="O33">[32]!HIGH</f>
        <v>1850</v>
      </c>
      <c r="P33" cm="1">
        <f t="array" ref="P33">[32]!LOW</f>
        <v>1812</v>
      </c>
      <c r="Q33" cm="1">
        <f t="array" ref="Q33">[32]!TRADEVOLUME</f>
        <v>370664</v>
      </c>
      <c r="R33" cm="1">
        <f t="array" ref="R33">[32]!POSIVOL</f>
        <v>350953</v>
      </c>
      <c r="S33" cm="1">
        <f t="array" ref="S33">[32]!POSIVOLCHANGE</f>
        <v>-1</v>
      </c>
      <c r="T33" cm="1">
        <f t="array" ref="T33">[32]!POSIVOLCHANGEDAILY</f>
        <v>8962</v>
      </c>
      <c r="U33" t="str" cm="1">
        <f t="array" ref="U33">[32]!INST_STATE</f>
        <v>连续交易</v>
      </c>
      <c r="V33" t="str" cm="1">
        <f t="array" ref="V33">[32]!UPDATETIME</f>
        <v>22:52:40.000</v>
      </c>
      <c r="W33" cm="1">
        <f t="array" ref="W33">[32]!UPPERLIMITPRICE</f>
        <v>1951</v>
      </c>
      <c r="X33" cm="1">
        <f t="array" ref="X33">[32]!LOWERLIMITPRICE</f>
        <v>1695</v>
      </c>
      <c r="Y33" t="e" cm="1">
        <f t="array" ref="Y33">[32]!CLOSEPRICE</f>
        <v>#N/A</v>
      </c>
      <c r="Z33" t="e" cm="1">
        <f t="array" ref="Z33">[32]!SETTLEPRICE</f>
        <v>#N/A</v>
      </c>
      <c r="AA33" cm="1">
        <f t="array" ref="AA33">[32]!PRECLOSE</f>
        <v>1817</v>
      </c>
      <c r="AB33" cm="1">
        <f t="array" ref="AB33">[32]!PRESETTLEPRICE</f>
        <v>1823</v>
      </c>
      <c r="AC33" t="s">
        <v>42</v>
      </c>
      <c r="AD33" t="s">
        <v>106</v>
      </c>
      <c r="AE33">
        <v>20</v>
      </c>
      <c r="AF33">
        <v>20260914</v>
      </c>
      <c r="AG33" t="e" cm="1">
        <f t="array" ref="AG33">[32]!MARGIN</f>
        <v>#N/A</v>
      </c>
      <c r="AH33" t="e" cm="1">
        <f t="array" ref="AH33">[32]!FEE</f>
        <v>#N/A</v>
      </c>
      <c r="AJ33" cm="1">
        <f t="array" ref="AJ33">[32]!IMPLYBIDVOLUME1</f>
        <v>0</v>
      </c>
      <c r="AK33" t="e" cm="1">
        <f t="array" ref="AK33">[32]!IMPLYBIDPRICE1</f>
        <v>#N/A</v>
      </c>
      <c r="AL33" t="e" cm="1">
        <f t="array" ref="AL33">[32]!IMPLYASKPRICE1</f>
        <v>#N/A</v>
      </c>
      <c r="AM33" cm="1">
        <f t="array" ref="AM33">[32]!IMPLYASKVOLUME1</f>
        <v>0</v>
      </c>
      <c r="AN33" cm="1">
        <f t="array" ref="AN33">[32]!VOLUMEBIDLOT</f>
        <v>0</v>
      </c>
      <c r="AO33" cm="1">
        <f t="array" ref="AO33">[32]!VOLUMEASKLOT</f>
        <v>0</v>
      </c>
    </row>
    <row r="34" spans="1:41" x14ac:dyDescent="0.25">
      <c r="A34" t="s">
        <v>107</v>
      </c>
      <c r="B34" t="s">
        <v>107</v>
      </c>
      <c r="C34" cm="1">
        <f t="array" ref="C34">[33]!NETVOLUME2200107473</f>
        <v>0</v>
      </c>
      <c r="D34" cm="1">
        <f t="array" ref="D34">[33]!LONGPOSITION2200107473</f>
        <v>0</v>
      </c>
      <c r="E34" cm="1">
        <f t="array" ref="E34">[33]!SHORTPOSITION2200107473</f>
        <v>0</v>
      </c>
      <c r="F34" cm="1">
        <f t="array" ref="F34">[33]!MTMPL2200107473</f>
        <v>0</v>
      </c>
      <c r="G34" cm="1">
        <f t="array" ref="G34">[33]!LASTPRICE</f>
        <v>3198</v>
      </c>
      <c r="H34" t="e" cm="1">
        <f t="array" ref="H34">[33]!NETCHANGE</f>
        <v>#N/A</v>
      </c>
      <c r="I34" t="e" cm="1">
        <f t="array" ref="I34">[33]!NETCHANGERATE</f>
        <v>#N/A</v>
      </c>
      <c r="J34" cm="1">
        <f t="array" ref="J34">[33]!BIDVOLUME1</f>
        <v>0</v>
      </c>
      <c r="K34" t="e" cm="1">
        <f t="array" ref="K34">[33]!BIDPRICE1</f>
        <v>#N/A</v>
      </c>
      <c r="L34" t="e" cm="1">
        <f t="array" ref="L34">[33]!ASKPRICE1</f>
        <v>#N/A</v>
      </c>
      <c r="M34" cm="1">
        <f t="array" ref="M34">[33]!ASKVOLUME1</f>
        <v>0</v>
      </c>
      <c r="N34" t="e" cm="1">
        <f t="array" ref="N34">[33]!OPENPRICE</f>
        <v>#N/A</v>
      </c>
      <c r="O34" t="e" cm="1">
        <f t="array" ref="O34">[33]!HIGH</f>
        <v>#N/A</v>
      </c>
      <c r="P34" t="e" cm="1">
        <f t="array" ref="P34">[33]!LOW</f>
        <v>#N/A</v>
      </c>
      <c r="Q34" cm="1">
        <f t="array" ref="Q34">[33]!TRADEVOLUME</f>
        <v>0</v>
      </c>
      <c r="R34" cm="1">
        <f t="array" ref="R34">[33]!POSIVOL</f>
        <v>0</v>
      </c>
      <c r="S34" t="e" cm="1">
        <f t="array" ref="S34">[33]!POSIVOLCHANGE</f>
        <v>#N/A</v>
      </c>
      <c r="T34" cm="1">
        <f t="array" ref="T34">[33]!POSIVOLCHANGEDAILY</f>
        <v>0</v>
      </c>
      <c r="U34" t="e" cm="1">
        <f t="array" ref="U34">[33]!INST_STATE</f>
        <v>#N/A</v>
      </c>
      <c r="V34" t="str" cm="1">
        <f t="array" ref="V34">[33]!UPDATETIME</f>
        <v>22:00:47.000</v>
      </c>
      <c r="W34" cm="1">
        <f t="array" ref="W34">[33]!UPPERLIMITPRICE</f>
        <v>3646</v>
      </c>
      <c r="X34" cm="1">
        <f t="array" ref="X34">[33]!LOWERLIMITPRICE</f>
        <v>2750</v>
      </c>
      <c r="Y34" t="e" cm="1">
        <f t="array" ref="Y34">[33]!CLOSEPRICE</f>
        <v>#N/A</v>
      </c>
      <c r="Z34" cm="1">
        <f t="array" ref="Z34">[33]!SETTLEPRICE</f>
        <v>3198</v>
      </c>
      <c r="AA34" t="e" cm="1">
        <f t="array" ref="AA34">[33]!PRECLOSE</f>
        <v>#N/A</v>
      </c>
      <c r="AB34" cm="1">
        <f t="array" ref="AB34">[33]!PRESETTLEPRICE</f>
        <v>3198</v>
      </c>
      <c r="AC34" t="s">
        <v>42</v>
      </c>
      <c r="AD34" t="s">
        <v>108</v>
      </c>
      <c r="AE34">
        <v>20</v>
      </c>
      <c r="AF34">
        <v>20270514</v>
      </c>
      <c r="AG34" t="e" cm="1">
        <f t="array" ref="AG34">[33]!MARGIN</f>
        <v>#N/A</v>
      </c>
      <c r="AH34" t="e" cm="1">
        <f t="array" ref="AH34">[33]!FEE</f>
        <v>#N/A</v>
      </c>
      <c r="AJ34" cm="1">
        <f t="array" ref="AJ34">[33]!IMPLYBIDVOLUME1</f>
        <v>0</v>
      </c>
      <c r="AK34" t="e" cm="1">
        <f t="array" ref="AK34">[33]!IMPLYBIDPRICE1</f>
        <v>#N/A</v>
      </c>
      <c r="AL34" t="e" cm="1">
        <f t="array" ref="AL34">[33]!IMPLYASKPRICE1</f>
        <v>#N/A</v>
      </c>
      <c r="AM34" cm="1">
        <f t="array" ref="AM34">[33]!IMPLYASKVOLUME1</f>
        <v>0</v>
      </c>
      <c r="AN34" cm="1">
        <f t="array" ref="AN34">[33]!VOLUMEBIDLOT</f>
        <v>0</v>
      </c>
      <c r="AO34" cm="1">
        <f t="array" ref="AO34">[33]!VOLUMEASKLOT</f>
        <v>0</v>
      </c>
    </row>
    <row r="35" spans="1:41" x14ac:dyDescent="0.25">
      <c r="A35" t="s">
        <v>109</v>
      </c>
      <c r="B35" t="s">
        <v>109</v>
      </c>
      <c r="C35" cm="1">
        <f t="array" ref="C35">[34]!NETVOLUME2200107473</f>
        <v>0</v>
      </c>
      <c r="D35" cm="1">
        <f t="array" ref="D35">[34]!LONGPOSITION2200107473</f>
        <v>0</v>
      </c>
      <c r="E35" cm="1">
        <f t="array" ref="E35">[34]!SHORTPOSITION2200107473</f>
        <v>0</v>
      </c>
      <c r="F35" cm="1">
        <f t="array" ref="F35">[34]!MTMPL2200107473</f>
        <v>0</v>
      </c>
      <c r="G35" cm="1">
        <f t="array" ref="G35">[34]!LASTPRICE</f>
        <v>801.4</v>
      </c>
      <c r="H35" t="e" cm="1">
        <f t="array" ref="H35">[34]!NETCHANGE</f>
        <v>#N/A</v>
      </c>
      <c r="I35" t="e" cm="1">
        <f t="array" ref="I35">[34]!NETCHANGERATE</f>
        <v>#N/A</v>
      </c>
      <c r="J35" cm="1">
        <f t="array" ref="J35">[34]!BIDVOLUME1</f>
        <v>0</v>
      </c>
      <c r="K35" t="e" cm="1">
        <f t="array" ref="K35">[34]!BIDPRICE1</f>
        <v>#N/A</v>
      </c>
      <c r="L35" t="e" cm="1">
        <f t="array" ref="L35">[34]!ASKPRICE1</f>
        <v>#N/A</v>
      </c>
      <c r="M35" cm="1">
        <f t="array" ref="M35">[34]!ASKVOLUME1</f>
        <v>0</v>
      </c>
      <c r="N35" t="e" cm="1">
        <f t="array" ref="N35">[34]!OPENPRICE</f>
        <v>#N/A</v>
      </c>
      <c r="O35" t="e" cm="1">
        <f t="array" ref="O35">[34]!HIGH</f>
        <v>#N/A</v>
      </c>
      <c r="P35" t="e" cm="1">
        <f t="array" ref="P35">[34]!LOW</f>
        <v>#N/A</v>
      </c>
      <c r="Q35" cm="1">
        <f t="array" ref="Q35">[34]!TRADEVOLUME</f>
        <v>0</v>
      </c>
      <c r="R35" cm="1">
        <f t="array" ref="R35">[34]!POSIVOL</f>
        <v>0</v>
      </c>
      <c r="S35" t="e" cm="1">
        <f t="array" ref="S35">[34]!POSIVOLCHANGE</f>
        <v>#N/A</v>
      </c>
      <c r="T35" cm="1">
        <f t="array" ref="T35">[34]!POSIVOLCHANGEDAILY</f>
        <v>0</v>
      </c>
      <c r="U35" t="e" cm="1">
        <f t="array" ref="U35">[34]!INST_STATE</f>
        <v>#N/A</v>
      </c>
      <c r="V35" t="str" cm="1">
        <f t="array" ref="V35">[34]!UPDATETIME</f>
        <v>22:00:47.000</v>
      </c>
      <c r="W35" cm="1">
        <f t="array" ref="W35">[34]!UPPERLIMITPRICE</f>
        <v>961.8</v>
      </c>
      <c r="X35" cm="1">
        <f t="array" ref="X35">[34]!LOWERLIMITPRICE</f>
        <v>641</v>
      </c>
      <c r="Y35" t="e" cm="1">
        <f t="array" ref="Y35">[34]!CLOSEPRICE</f>
        <v>#N/A</v>
      </c>
      <c r="Z35" cm="1">
        <f t="array" ref="Z35">[34]!SETTLEPRICE</f>
        <v>801.4</v>
      </c>
      <c r="AA35" cm="1">
        <f t="array" ref="AA35">[34]!PRECLOSE</f>
        <v>801.4</v>
      </c>
      <c r="AB35" cm="1">
        <f t="array" ref="AB35">[34]!PRESETTLEPRICE</f>
        <v>801.4</v>
      </c>
      <c r="AC35" t="s">
        <v>42</v>
      </c>
      <c r="AD35" t="s">
        <v>110</v>
      </c>
      <c r="AE35">
        <v>100</v>
      </c>
      <c r="AF35">
        <v>20270507</v>
      </c>
      <c r="AG35" t="e" cm="1">
        <f t="array" ref="AG35">[34]!MARGIN</f>
        <v>#N/A</v>
      </c>
      <c r="AH35" t="e" cm="1">
        <f t="array" ref="AH35">[34]!FEE</f>
        <v>#N/A</v>
      </c>
      <c r="AJ35" cm="1">
        <f t="array" ref="AJ35">[34]!IMPLYBIDVOLUME1</f>
        <v>0</v>
      </c>
      <c r="AK35" t="e" cm="1">
        <f t="array" ref="AK35">[34]!IMPLYBIDPRICE1</f>
        <v>#N/A</v>
      </c>
      <c r="AL35" t="e" cm="1">
        <f t="array" ref="AL35">[34]!IMPLYASKPRICE1</f>
        <v>#N/A</v>
      </c>
      <c r="AM35" cm="1">
        <f t="array" ref="AM35">[34]!IMPLYASKVOLUME1</f>
        <v>0</v>
      </c>
      <c r="AN35" cm="1">
        <f t="array" ref="AN35">[34]!VOLUMEBIDLOT</f>
        <v>0</v>
      </c>
      <c r="AO35" cm="1">
        <f t="array" ref="AO35">[34]!VOLUMEASKLOT</f>
        <v>0</v>
      </c>
    </row>
    <row r="36" spans="1:41" x14ac:dyDescent="0.25">
      <c r="A36" t="s">
        <v>111</v>
      </c>
      <c r="B36" t="s">
        <v>111</v>
      </c>
      <c r="C36" cm="1">
        <f t="array" ref="C36">[35]!NETVOLUME2200107473</f>
        <v>0</v>
      </c>
      <c r="D36" cm="1">
        <f t="array" ref="D36">[35]!LONGPOSITION2200107473</f>
        <v>0</v>
      </c>
      <c r="E36" cm="1">
        <f t="array" ref="E36">[35]!SHORTPOSITION2200107473</f>
        <v>0</v>
      </c>
      <c r="F36" cm="1">
        <f t="array" ref="F36">[35]!MTMPL2200107473</f>
        <v>0</v>
      </c>
      <c r="G36" cm="1">
        <f t="array" ref="G36">[35]!LASTPRICE</f>
        <v>4771</v>
      </c>
      <c r="H36" cm="1">
        <f t="array" ref="H36">[35]!NETCHANGE</f>
        <v>-2</v>
      </c>
      <c r="I36" t="str" cm="1">
        <f t="array" ref="I36">[35]!NETCHANGERATE</f>
        <v>-0.04%</v>
      </c>
      <c r="J36" cm="1">
        <f t="array" ref="J36">[35]!BIDVOLUME1</f>
        <v>20</v>
      </c>
      <c r="K36" cm="1">
        <f t="array" ref="K36">[35]!BIDPRICE1</f>
        <v>4770</v>
      </c>
      <c r="L36" cm="1">
        <f t="array" ref="L36">[35]!ASKPRICE1</f>
        <v>4771</v>
      </c>
      <c r="M36" cm="1">
        <f t="array" ref="M36">[35]!ASKVOLUME1</f>
        <v>55</v>
      </c>
      <c r="N36" cm="1">
        <f t="array" ref="N36">[35]!OPENPRICE</f>
        <v>4794</v>
      </c>
      <c r="O36" cm="1">
        <f t="array" ref="O36">[35]!HIGH</f>
        <v>4800</v>
      </c>
      <c r="P36" cm="1">
        <f t="array" ref="P36">[35]!LOW</f>
        <v>4757</v>
      </c>
      <c r="Q36" cm="1">
        <f t="array" ref="Q36">[35]!TRADEVOLUME</f>
        <v>172968</v>
      </c>
      <c r="R36" cm="1">
        <f t="array" ref="R36">[35]!POSIVOL</f>
        <v>288673</v>
      </c>
      <c r="S36" cm="1">
        <f t="array" ref="S36">[35]!POSIVOLCHANGE</f>
        <v>-1</v>
      </c>
      <c r="T36" cm="1">
        <f t="array" ref="T36">[35]!POSIVOLCHANGEDAILY</f>
        <v>-4973</v>
      </c>
      <c r="U36" t="str" cm="1">
        <f t="array" ref="U36">[35]!INST_STATE</f>
        <v>连续交易</v>
      </c>
      <c r="V36" t="str" cm="1">
        <f t="array" ref="V36">[35]!UPDATETIME</f>
        <v>22:52:38.500</v>
      </c>
      <c r="W36" cm="1">
        <f t="array" ref="W36">[35]!UPPERLIMITPRICE</f>
        <v>5059</v>
      </c>
      <c r="X36" cm="1">
        <f t="array" ref="X36">[35]!LOWERLIMITPRICE</f>
        <v>4487</v>
      </c>
      <c r="Y36" t="e" cm="1">
        <f t="array" ref="Y36">[35]!CLOSEPRICE</f>
        <v>#N/A</v>
      </c>
      <c r="Z36" t="e" cm="1">
        <f t="array" ref="Z36">[35]!SETTLEPRICE</f>
        <v>#N/A</v>
      </c>
      <c r="AA36" cm="1">
        <f t="array" ref="AA36">[35]!PRECLOSE</f>
        <v>4791</v>
      </c>
      <c r="AB36" cm="1">
        <f t="array" ref="AB36">[35]!PRESETTLEPRICE</f>
        <v>4773</v>
      </c>
      <c r="AC36" t="s">
        <v>112</v>
      </c>
      <c r="AD36" t="s">
        <v>113</v>
      </c>
      <c r="AE36">
        <v>10</v>
      </c>
      <c r="AF36">
        <v>20260714</v>
      </c>
      <c r="AG36" t="e" cm="1">
        <f t="array" ref="AG36">[35]!MARGIN</f>
        <v>#N/A</v>
      </c>
      <c r="AH36" t="e" cm="1">
        <f t="array" ref="AH36">[35]!FEE</f>
        <v>#N/A</v>
      </c>
      <c r="AJ36" cm="1">
        <f t="array" ref="AJ36">[35]!IMPLYBIDVOLUME1</f>
        <v>0</v>
      </c>
      <c r="AK36" t="e" cm="1">
        <f t="array" ref="AK36">[35]!IMPLYBIDPRICE1</f>
        <v>#N/A</v>
      </c>
      <c r="AL36" t="e" cm="1">
        <f t="array" ref="AL36">[35]!IMPLYASKPRICE1</f>
        <v>#N/A</v>
      </c>
      <c r="AM36" cm="1">
        <f t="array" ref="AM36">[35]!IMPLYASKVOLUME1</f>
        <v>0</v>
      </c>
      <c r="AN36" cm="1">
        <f t="array" ref="AN36">[35]!VOLUMEBIDLOT</f>
        <v>0</v>
      </c>
      <c r="AO36" cm="1">
        <f t="array" ref="AO36">[35]!VOLUMEASKLOT</f>
        <v>0</v>
      </c>
    </row>
    <row r="37" spans="1:41" x14ac:dyDescent="0.25">
      <c r="A37" t="s">
        <v>114</v>
      </c>
      <c r="B37" t="s">
        <v>114</v>
      </c>
      <c r="C37" cm="1">
        <f t="array" ref="C37">[36]!NETVOLUME2200107473</f>
        <v>0</v>
      </c>
      <c r="D37" cm="1">
        <f t="array" ref="D37">[36]!LONGPOSITION2200107473</f>
        <v>0</v>
      </c>
      <c r="E37" cm="1">
        <f t="array" ref="E37">[36]!SHORTPOSITION2200107473</f>
        <v>0</v>
      </c>
      <c r="F37" cm="1">
        <f t="array" ref="F37">[36]!MTMPL2200107473</f>
        <v>0</v>
      </c>
      <c r="G37" cm="1">
        <f t="array" ref="G37">[36]!LASTPRICE</f>
        <v>23070</v>
      </c>
      <c r="H37" cm="1">
        <f t="array" ref="H37">[36]!NETCHANGE</f>
        <v>0</v>
      </c>
      <c r="I37" t="str" cm="1">
        <f t="array" ref="I37">[36]!NETCHANGERATE</f>
        <v>0.00%</v>
      </c>
      <c r="J37" cm="1">
        <f t="array" ref="J37">[36]!BIDVOLUME1</f>
        <v>10</v>
      </c>
      <c r="K37" cm="1">
        <f t="array" ref="K37">[36]!BIDPRICE1</f>
        <v>23060</v>
      </c>
      <c r="L37" cm="1">
        <f t="array" ref="L37">[36]!ASKPRICE1</f>
        <v>23070</v>
      </c>
      <c r="M37" cm="1">
        <f t="array" ref="M37">[36]!ASKVOLUME1</f>
        <v>5</v>
      </c>
      <c r="N37" cm="1">
        <f t="array" ref="N37">[36]!OPENPRICE</f>
        <v>23200</v>
      </c>
      <c r="O37" cm="1">
        <f t="array" ref="O37">[36]!HIGH</f>
        <v>23260</v>
      </c>
      <c r="P37" cm="1">
        <f t="array" ref="P37">[36]!LOW</f>
        <v>22950</v>
      </c>
      <c r="Q37" cm="1">
        <f t="array" ref="Q37">[36]!TRADEVOLUME</f>
        <v>5418</v>
      </c>
      <c r="R37" cm="1">
        <f t="array" ref="R37">[36]!POSIVOL</f>
        <v>15194</v>
      </c>
      <c r="S37" cm="1">
        <f t="array" ref="S37">[36]!POSIVOLCHANGE</f>
        <v>0</v>
      </c>
      <c r="T37" cm="1">
        <f t="array" ref="T37">[36]!POSIVOLCHANGEDAILY</f>
        <v>473</v>
      </c>
      <c r="U37" t="str" cm="1">
        <f t="array" ref="U37">[36]!INST_STATE</f>
        <v>连续交易</v>
      </c>
      <c r="V37" t="str" cm="1">
        <f t="array" ref="V37">[36]!UPDATETIME</f>
        <v>22:52:40.500</v>
      </c>
      <c r="W37" cm="1">
        <f t="array" ref="W37">[36]!UPPERLIMITPRICE</f>
        <v>24915</v>
      </c>
      <c r="X37" cm="1">
        <f t="array" ref="X37">[36]!LOWERLIMITPRICE</f>
        <v>21220</v>
      </c>
      <c r="Y37" t="e" cm="1">
        <f t="array" ref="Y37">[36]!CLOSEPRICE</f>
        <v>#N/A</v>
      </c>
      <c r="Z37" t="e" cm="1">
        <f t="array" ref="Z37">[36]!SETTLEPRICE</f>
        <v>#N/A</v>
      </c>
      <c r="AA37" cm="1">
        <f t="array" ref="AA37">[36]!PRECLOSE</f>
        <v>23120</v>
      </c>
      <c r="AB37" cm="1">
        <f t="array" ref="AB37">[36]!PRESETTLEPRICE</f>
        <v>23070</v>
      </c>
      <c r="AC37" t="s">
        <v>115</v>
      </c>
      <c r="AD37" t="s">
        <v>116</v>
      </c>
      <c r="AE37">
        <v>10</v>
      </c>
      <c r="AF37">
        <v>20260715</v>
      </c>
      <c r="AG37" t="e" cm="1">
        <f t="array" ref="AG37">[36]!MARGIN</f>
        <v>#N/A</v>
      </c>
      <c r="AH37" t="e" cm="1">
        <f t="array" ref="AH37">[36]!FEE</f>
        <v>#N/A</v>
      </c>
      <c r="AJ37" cm="1">
        <f t="array" ref="AJ37">[36]!IMPLYBIDVOLUME1</f>
        <v>0</v>
      </c>
      <c r="AK37" t="e" cm="1">
        <f t="array" ref="AK37">[36]!IMPLYBIDPRICE1</f>
        <v>#N/A</v>
      </c>
      <c r="AL37" t="e" cm="1">
        <f t="array" ref="AL37">[36]!IMPLYASKPRICE1</f>
        <v>#N/A</v>
      </c>
      <c r="AM37" cm="1">
        <f t="array" ref="AM37">[36]!IMPLYASKVOLUME1</f>
        <v>0</v>
      </c>
      <c r="AN37" cm="1">
        <f t="array" ref="AN37">[36]!VOLUMEBIDLOT</f>
        <v>0</v>
      </c>
      <c r="AO37" cm="1">
        <f t="array" ref="AO37">[36]!VOLUMEASKLOT</f>
        <v>0</v>
      </c>
    </row>
    <row r="38" spans="1:41" x14ac:dyDescent="0.25">
      <c r="A38" t="s">
        <v>117</v>
      </c>
      <c r="B38" t="s">
        <v>117</v>
      </c>
      <c r="C38" cm="1">
        <f t="array" ref="C38">[37]!NETVOLUME2200107473</f>
        <v>0</v>
      </c>
      <c r="D38" cm="1">
        <f t="array" ref="D38">[37]!LONGPOSITION2200107473</f>
        <v>0</v>
      </c>
      <c r="E38" cm="1">
        <f t="array" ref="E38">[37]!SHORTPOSITION2200107473</f>
        <v>0</v>
      </c>
      <c r="F38" cm="1">
        <f t="array" ref="F38">[37]!MTMPL2200107473</f>
        <v>0</v>
      </c>
      <c r="G38" cm="1">
        <f t="array" ref="G38">[37]!LASTPRICE</f>
        <v>18484</v>
      </c>
      <c r="H38" cm="1">
        <f t="array" ref="H38">[37]!NETCHANGE</f>
        <v>-357</v>
      </c>
      <c r="I38" t="str" cm="1">
        <f t="array" ref="I38">[37]!NETCHANGERATE</f>
        <v>-1.89%</v>
      </c>
      <c r="J38" cm="1">
        <f t="array" ref="J38">[37]!BIDVOLUME1</f>
        <v>8</v>
      </c>
      <c r="K38" cm="1">
        <f t="array" ref="K38">[37]!BIDPRICE1</f>
        <v>18481</v>
      </c>
      <c r="L38" cm="1">
        <f t="array" ref="L38">[37]!ASKPRICE1</f>
        <v>18484</v>
      </c>
      <c r="M38" cm="1">
        <f t="array" ref="M38">[37]!ASKVOLUME1</f>
        <v>10</v>
      </c>
      <c r="N38" cm="1">
        <f t="array" ref="N38">[37]!OPENPRICE</f>
        <v>18651</v>
      </c>
      <c r="O38" cm="1">
        <f t="array" ref="O38">[37]!HIGH</f>
        <v>18651</v>
      </c>
      <c r="P38" cm="1">
        <f t="array" ref="P38">[37]!LOW</f>
        <v>17850</v>
      </c>
      <c r="Q38" cm="1">
        <f t="array" ref="Q38">[37]!TRADEVOLUME</f>
        <v>903196</v>
      </c>
      <c r="R38" cm="1">
        <f t="array" ref="R38">[37]!POSIVOL</f>
        <v>224679</v>
      </c>
      <c r="S38" t="e" cm="1">
        <f t="array" ref="S38">[37]!POSIVOLCHANGE</f>
        <v>#N/A</v>
      </c>
      <c r="T38" cm="1">
        <f t="array" ref="T38">[37]!POSIVOLCHANGEDAILY</f>
        <v>12274</v>
      </c>
      <c r="U38" t="str" cm="1">
        <f t="array" ref="U38">[37]!INST_STATE</f>
        <v>连续交易</v>
      </c>
      <c r="V38" t="str" cm="1">
        <f t="array" ref="V38">[37]!UPDATETIME</f>
        <v>22:00:47.000</v>
      </c>
      <c r="W38" cm="1">
        <f t="array" ref="W38">[37]!UPPERLIMITPRICE</f>
        <v>22609</v>
      </c>
      <c r="X38" cm="1">
        <f t="array" ref="X38">[37]!LOWERLIMITPRICE</f>
        <v>15072</v>
      </c>
      <c r="Y38" t="e" cm="1">
        <f t="array" ref="Y38">[37]!CLOSEPRICE</f>
        <v>#N/A</v>
      </c>
      <c r="Z38" t="e" cm="1">
        <f t="array" ref="Z38">[37]!SETTLEPRICE</f>
        <v>#N/A</v>
      </c>
      <c r="AA38" cm="1">
        <f t="array" ref="AA38">[37]!PRECLOSE</f>
        <v>18708</v>
      </c>
      <c r="AB38" cm="1">
        <f t="array" ref="AB38">[37]!PRESETTLEPRICE</f>
        <v>18841</v>
      </c>
      <c r="AC38" t="s">
        <v>115</v>
      </c>
      <c r="AD38" t="s">
        <v>118</v>
      </c>
      <c r="AE38">
        <v>15</v>
      </c>
      <c r="AF38">
        <v>20260817</v>
      </c>
      <c r="AG38" t="e" cm="1">
        <f t="array" ref="AG38">[37]!MARGIN</f>
        <v>#N/A</v>
      </c>
      <c r="AH38" t="e" cm="1">
        <f t="array" ref="AH38">[37]!FEE</f>
        <v>#N/A</v>
      </c>
      <c r="AJ38" cm="1">
        <f t="array" ref="AJ38">[37]!IMPLYBIDVOLUME1</f>
        <v>0</v>
      </c>
      <c r="AK38" t="e" cm="1">
        <f t="array" ref="AK38">[37]!IMPLYBIDPRICE1</f>
        <v>#N/A</v>
      </c>
      <c r="AL38" t="e" cm="1">
        <f t="array" ref="AL38">[37]!IMPLYASKPRICE1</f>
        <v>#N/A</v>
      </c>
      <c r="AM38" cm="1">
        <f t="array" ref="AM38">[37]!IMPLYASKVOLUME1</f>
        <v>0</v>
      </c>
      <c r="AN38" cm="1">
        <f t="array" ref="AN38">[37]!VOLUMEBIDLOT</f>
        <v>0</v>
      </c>
      <c r="AO38" cm="1">
        <f t="array" ref="AO38">[37]!VOLUMEASKLOT</f>
        <v>0</v>
      </c>
    </row>
    <row r="39" spans="1:41" x14ac:dyDescent="0.25">
      <c r="A39" t="s">
        <v>119</v>
      </c>
      <c r="B39" t="s">
        <v>119</v>
      </c>
      <c r="C39" cm="1">
        <f t="array" ref="C39">[38]!NETVOLUME2200107473</f>
        <v>0</v>
      </c>
      <c r="D39" cm="1">
        <f t="array" ref="D39">[38]!LONGPOSITION2200107473</f>
        <v>0</v>
      </c>
      <c r="E39" cm="1">
        <f t="array" ref="E39">[38]!SHORTPOSITION2200107473</f>
        <v>0</v>
      </c>
      <c r="F39" cm="1">
        <f t="array" ref="F39">[38]!MTMPL2200107473</f>
        <v>0</v>
      </c>
      <c r="G39" cm="1">
        <f t="array" ref="G39">[38]!LASTPRICE</f>
        <v>24525</v>
      </c>
      <c r="H39" cm="1">
        <f t="array" ref="H39">[38]!NETCHANGE</f>
        <v>70</v>
      </c>
      <c r="I39" t="str" cm="1">
        <f t="array" ref="I39">[38]!NETCHANGERATE</f>
        <v>+0.29%</v>
      </c>
      <c r="J39" cm="1">
        <f t="array" ref="J39">[38]!BIDVOLUME1</f>
        <v>8</v>
      </c>
      <c r="K39" cm="1">
        <f t="array" ref="K39">[38]!BIDPRICE1</f>
        <v>24525</v>
      </c>
      <c r="L39" cm="1">
        <f t="array" ref="L39">[38]!ASKPRICE1</f>
        <v>24535</v>
      </c>
      <c r="M39" cm="1">
        <f t="array" ref="M39">[38]!ASKVOLUME1</f>
        <v>1</v>
      </c>
      <c r="N39" cm="1">
        <f t="array" ref="N39">[38]!OPENPRICE</f>
        <v>24615</v>
      </c>
      <c r="O39" cm="1">
        <f t="array" ref="O39">[38]!HIGH</f>
        <v>24620</v>
      </c>
      <c r="P39" cm="1">
        <f t="array" ref="P39">[38]!LOW</f>
        <v>24380</v>
      </c>
      <c r="Q39" cm="1">
        <f t="array" ref="Q39">[38]!TRADEVOLUME</f>
        <v>157437</v>
      </c>
      <c r="R39" cm="1">
        <f t="array" ref="R39">[38]!POSIVOL</f>
        <v>264635</v>
      </c>
      <c r="S39" t="e" cm="1">
        <f t="array" ref="S39">[38]!POSIVOLCHANGE</f>
        <v>#N/A</v>
      </c>
      <c r="T39" cm="1">
        <f t="array" ref="T39">[38]!POSIVOLCHANGEDAILY</f>
        <v>12691</v>
      </c>
      <c r="U39" t="str" cm="1">
        <f t="array" ref="U39">[38]!INST_STATE</f>
        <v>连续交易</v>
      </c>
      <c r="V39" t="str" cm="1">
        <f t="array" ref="V39">[38]!UPDATETIME</f>
        <v>22:00:47.000</v>
      </c>
      <c r="W39" cm="1">
        <f t="array" ref="W39">[38]!UPPERLIMITPRICE</f>
        <v>26900</v>
      </c>
      <c r="X39" cm="1">
        <f t="array" ref="X39">[38]!LOWERLIMITPRICE</f>
        <v>22005</v>
      </c>
      <c r="Y39" t="e" cm="1">
        <f t="array" ref="Y39">[38]!CLOSEPRICE</f>
        <v>#N/A</v>
      </c>
      <c r="Z39" t="e" cm="1">
        <f t="array" ref="Z39">[38]!SETTLEPRICE</f>
        <v>#N/A</v>
      </c>
      <c r="AA39" cm="1">
        <f t="array" ref="AA39">[38]!PRECLOSE</f>
        <v>24530</v>
      </c>
      <c r="AB39" cm="1">
        <f t="array" ref="AB39">[38]!PRESETTLEPRICE</f>
        <v>24455</v>
      </c>
      <c r="AC39" t="s">
        <v>115</v>
      </c>
      <c r="AD39" t="s">
        <v>120</v>
      </c>
      <c r="AE39">
        <v>5</v>
      </c>
      <c r="AF39">
        <v>20260715</v>
      </c>
      <c r="AG39" t="e" cm="1">
        <f t="array" ref="AG39">[38]!MARGIN</f>
        <v>#N/A</v>
      </c>
      <c r="AH39" t="e" cm="1">
        <f t="array" ref="AH39">[38]!FEE</f>
        <v>#N/A</v>
      </c>
      <c r="AJ39" cm="1">
        <f t="array" ref="AJ39">[38]!IMPLYBIDVOLUME1</f>
        <v>0</v>
      </c>
      <c r="AK39" t="e" cm="1">
        <f t="array" ref="AK39">[38]!IMPLYBIDPRICE1</f>
        <v>#N/A</v>
      </c>
      <c r="AL39" t="e" cm="1">
        <f t="array" ref="AL39">[38]!IMPLYASKPRICE1</f>
        <v>#N/A</v>
      </c>
      <c r="AM39" cm="1">
        <f t="array" ref="AM39">[38]!IMPLYASKVOLUME1</f>
        <v>0</v>
      </c>
      <c r="AN39" cm="1">
        <f t="array" ref="AN39">[38]!VOLUMEBIDLOT</f>
        <v>0</v>
      </c>
      <c r="AO39" cm="1">
        <f t="array" ref="AO39">[38]!VOLUMEASKLOT</f>
        <v>0</v>
      </c>
    </row>
    <row r="40" spans="1:41" x14ac:dyDescent="0.25">
      <c r="A40" t="s">
        <v>121</v>
      </c>
      <c r="B40" t="s">
        <v>121</v>
      </c>
      <c r="C40" cm="1">
        <f t="array" ref="C40">[39]!NETVOLUME2200107473</f>
        <v>0</v>
      </c>
      <c r="D40" cm="1">
        <f t="array" ref="D40">[39]!LONGPOSITION2200107473</f>
        <v>0</v>
      </c>
      <c r="E40" cm="1">
        <f t="array" ref="E40">[39]!SHORTPOSITION2200107473</f>
        <v>0</v>
      </c>
      <c r="F40" cm="1">
        <f t="array" ref="F40">[39]!MTMPL2200107473</f>
        <v>0</v>
      </c>
      <c r="G40" cm="1">
        <f t="array" ref="G40">[39]!LASTPRICE</f>
        <v>2713</v>
      </c>
      <c r="H40" cm="1">
        <f t="array" ref="H40">[39]!NETCHANGE</f>
        <v>-12</v>
      </c>
      <c r="I40" t="str" cm="1">
        <f t="array" ref="I40">[39]!NETCHANGERATE</f>
        <v>-0.44%</v>
      </c>
      <c r="J40" cm="1">
        <f t="array" ref="J40">[39]!BIDVOLUME1</f>
        <v>151</v>
      </c>
      <c r="K40" cm="1">
        <f t="array" ref="K40">[39]!BIDPRICE1</f>
        <v>2713</v>
      </c>
      <c r="L40" cm="1">
        <f t="array" ref="L40">[39]!ASKPRICE1</f>
        <v>2714</v>
      </c>
      <c r="M40" cm="1">
        <f t="array" ref="M40">[39]!ASKVOLUME1</f>
        <v>29</v>
      </c>
      <c r="N40" cm="1">
        <f t="array" ref="N40">[39]!OPENPRICE</f>
        <v>2725</v>
      </c>
      <c r="O40" cm="1">
        <f t="array" ref="O40">[39]!HIGH</f>
        <v>2731</v>
      </c>
      <c r="P40" cm="1">
        <f t="array" ref="P40">[39]!LOW</f>
        <v>2706</v>
      </c>
      <c r="Q40" cm="1">
        <f t="array" ref="Q40">[39]!TRADEVOLUME</f>
        <v>189516</v>
      </c>
      <c r="R40" cm="1">
        <f t="array" ref="R40">[39]!POSIVOL</f>
        <v>404520</v>
      </c>
      <c r="S40" t="e" cm="1">
        <f t="array" ref="S40">[39]!POSIVOLCHANGE</f>
        <v>#N/A</v>
      </c>
      <c r="T40" cm="1">
        <f t="array" ref="T40">[39]!POSIVOLCHANGEDAILY</f>
        <v>11085</v>
      </c>
      <c r="U40" t="str" cm="1">
        <f t="array" ref="U40">[39]!INST_STATE</f>
        <v>连续交易</v>
      </c>
      <c r="V40" t="str" cm="1">
        <f t="array" ref="V40">[39]!UPDATETIME</f>
        <v>22:00:47.000</v>
      </c>
      <c r="W40" cm="1">
        <f t="array" ref="W40">[39]!UPPERLIMITPRICE</f>
        <v>2997</v>
      </c>
      <c r="X40" cm="1">
        <f t="array" ref="X40">[39]!LOWERLIMITPRICE</f>
        <v>2452</v>
      </c>
      <c r="Y40" t="e" cm="1">
        <f t="array" ref="Y40">[39]!CLOSEPRICE</f>
        <v>#N/A</v>
      </c>
      <c r="Z40" t="e" cm="1">
        <f t="array" ref="Z40">[39]!SETTLEPRICE</f>
        <v>#N/A</v>
      </c>
      <c r="AA40" cm="1">
        <f t="array" ref="AA40">[39]!PRECLOSE</f>
        <v>2724</v>
      </c>
      <c r="AB40" cm="1">
        <f t="array" ref="AB40">[39]!PRESETTLEPRICE</f>
        <v>2725</v>
      </c>
      <c r="AC40" t="s">
        <v>115</v>
      </c>
      <c r="AD40" t="s">
        <v>122</v>
      </c>
      <c r="AE40">
        <v>20</v>
      </c>
      <c r="AF40">
        <v>20260915</v>
      </c>
      <c r="AG40" t="e" cm="1">
        <f t="array" ref="AG40">[39]!MARGIN</f>
        <v>#N/A</v>
      </c>
      <c r="AH40" t="e" cm="1">
        <f t="array" ref="AH40">[39]!FEE</f>
        <v>#N/A</v>
      </c>
      <c r="AJ40" cm="1">
        <f t="array" ref="AJ40">[39]!IMPLYBIDVOLUME1</f>
        <v>0</v>
      </c>
      <c r="AK40" t="e" cm="1">
        <f t="array" ref="AK40">[39]!IMPLYBIDPRICE1</f>
        <v>#N/A</v>
      </c>
      <c r="AL40" t="e" cm="1">
        <f t="array" ref="AL40">[39]!IMPLYASKPRICE1</f>
        <v>#N/A</v>
      </c>
      <c r="AM40" cm="1">
        <f t="array" ref="AM40">[39]!IMPLYASKVOLUME1</f>
        <v>0</v>
      </c>
      <c r="AN40" cm="1">
        <f t="array" ref="AN40">[39]!VOLUMEBIDLOT</f>
        <v>0</v>
      </c>
      <c r="AO40" cm="1">
        <f t="array" ref="AO40">[39]!VOLUMEASKLOT</f>
        <v>0</v>
      </c>
    </row>
    <row r="41" spans="1:41" x14ac:dyDescent="0.25">
      <c r="A41" t="s">
        <v>123</v>
      </c>
      <c r="B41" t="s">
        <v>123</v>
      </c>
      <c r="C41" cm="1">
        <f t="array" ref="C41">[40]!NETVOLUME2200107473</f>
        <v>0</v>
      </c>
      <c r="D41" cm="1">
        <f t="array" ref="D41">[40]!LONGPOSITION2200107473</f>
        <v>0</v>
      </c>
      <c r="E41" cm="1">
        <f t="array" ref="E41">[40]!SHORTPOSITION2200107473</f>
        <v>0</v>
      </c>
      <c r="F41" cm="1">
        <f t="array" ref="F41">[40]!MTMPL2200107473</f>
        <v>0</v>
      </c>
      <c r="G41" cm="1">
        <f t="array" ref="G41">[40]!LASTPRICE</f>
        <v>983.92</v>
      </c>
      <c r="H41" cm="1">
        <f t="array" ref="H41">[40]!NETCHANGE</f>
        <v>-16.680000000000064</v>
      </c>
      <c r="I41" t="str" cm="1">
        <f t="array" ref="I41">[40]!NETCHANGERATE</f>
        <v>-1.67%</v>
      </c>
      <c r="J41" cm="1">
        <f t="array" ref="J41">[40]!BIDVOLUME1</f>
        <v>1</v>
      </c>
      <c r="K41" cm="1">
        <f t="array" ref="K41">[40]!BIDPRICE1</f>
        <v>983.9</v>
      </c>
      <c r="L41" cm="1">
        <f t="array" ref="L41">[40]!ASKPRICE1</f>
        <v>983.98</v>
      </c>
      <c r="M41" cm="1">
        <f t="array" ref="M41">[40]!ASKVOLUME1</f>
        <v>6</v>
      </c>
      <c r="N41" cm="1">
        <f t="array" ref="N41">[40]!OPENPRICE</f>
        <v>998.74</v>
      </c>
      <c r="O41" cm="1">
        <f t="array" ref="O41">[40]!HIGH</f>
        <v>998.74</v>
      </c>
      <c r="P41" cm="1">
        <f t="array" ref="P41">[40]!LOW</f>
        <v>830.52</v>
      </c>
      <c r="Q41" cm="1">
        <f t="array" ref="Q41">[40]!TRADEVOLUME</f>
        <v>216636</v>
      </c>
      <c r="R41" cm="1">
        <f t="array" ref="R41">[40]!POSIVOL</f>
        <v>99130</v>
      </c>
      <c r="S41" t="e" cm="1">
        <f t="array" ref="S41">[40]!POSIVOLCHANGE</f>
        <v>#N/A</v>
      </c>
      <c r="T41" cm="1">
        <f t="array" ref="T41">[40]!POSIVOLCHANGEDAILY</f>
        <v>-10678</v>
      </c>
      <c r="U41" t="str" cm="1">
        <f t="array" ref="U41">[40]!INST_STATE</f>
        <v>连续交易</v>
      </c>
      <c r="V41" t="str" cm="1">
        <f t="array" ref="V41">[40]!UPDATETIME</f>
        <v>22:00:47.000</v>
      </c>
      <c r="W41" cm="1">
        <f t="array" ref="W41">[40]!UPPERLIMITPRICE</f>
        <v>1170.7</v>
      </c>
      <c r="X41" cm="1">
        <f t="array" ref="X41">[40]!LOWERLIMITPRICE</f>
        <v>830.48</v>
      </c>
      <c r="Y41" t="e" cm="1">
        <f t="array" ref="Y41">[40]!CLOSEPRICE</f>
        <v>#N/A</v>
      </c>
      <c r="Z41" t="e" cm="1">
        <f t="array" ref="Z41">[40]!SETTLEPRICE</f>
        <v>#N/A</v>
      </c>
      <c r="AA41" cm="1">
        <f t="array" ref="AA41">[40]!PRECLOSE</f>
        <v>999.58</v>
      </c>
      <c r="AB41" cm="1">
        <f t="array" ref="AB41">[40]!PRESETTLEPRICE</f>
        <v>1000.6</v>
      </c>
      <c r="AC41" t="s">
        <v>115</v>
      </c>
      <c r="AD41" t="s">
        <v>124</v>
      </c>
      <c r="AE41">
        <v>1000</v>
      </c>
      <c r="AF41">
        <v>20260615</v>
      </c>
      <c r="AG41" t="e" cm="1">
        <f t="array" ref="AG41">[40]!MARGIN</f>
        <v>#N/A</v>
      </c>
      <c r="AH41" t="e" cm="1">
        <f t="array" ref="AH41">[40]!FEE</f>
        <v>#N/A</v>
      </c>
      <c r="AJ41" cm="1">
        <f t="array" ref="AJ41">[40]!IMPLYBIDVOLUME1</f>
        <v>0</v>
      </c>
      <c r="AK41" t="e" cm="1">
        <f t="array" ref="AK41">[40]!IMPLYBIDPRICE1</f>
        <v>#N/A</v>
      </c>
      <c r="AL41" t="e" cm="1">
        <f t="array" ref="AL41">[40]!IMPLYASKPRICE1</f>
        <v>#N/A</v>
      </c>
      <c r="AM41" cm="1">
        <f t="array" ref="AM41">[40]!IMPLYASKVOLUME1</f>
        <v>0</v>
      </c>
      <c r="AN41" cm="1">
        <f t="array" ref="AN41">[40]!VOLUMEBIDLOT</f>
        <v>0</v>
      </c>
      <c r="AO41" cm="1">
        <f t="array" ref="AO41">[40]!VOLUMEASKLOT</f>
        <v>0</v>
      </c>
    </row>
    <row r="42" spans="1:41" x14ac:dyDescent="0.25">
      <c r="A42" t="s">
        <v>125</v>
      </c>
      <c r="B42" t="s">
        <v>125</v>
      </c>
      <c r="C42" cm="1">
        <f t="array" ref="C42">[41]!NETVOLUME2200107473</f>
        <v>0</v>
      </c>
      <c r="D42" cm="1">
        <f t="array" ref="D42">[41]!LONGPOSITION2200107473</f>
        <v>0</v>
      </c>
      <c r="E42" cm="1">
        <f t="array" ref="E42">[41]!SHORTPOSITION2200107473</f>
        <v>0</v>
      </c>
      <c r="F42" cm="1">
        <f t="array" ref="F42">[41]!MTMPL2200107473</f>
        <v>0</v>
      </c>
      <c r="G42" cm="1">
        <f t="array" ref="G42">[41]!LASTPRICE</f>
        <v>3647</v>
      </c>
      <c r="H42" cm="1">
        <f t="array" ref="H42">[41]!NETCHANGE</f>
        <v>43</v>
      </c>
      <c r="I42" t="str" cm="1">
        <f t="array" ref="I42">[41]!NETCHANGERATE</f>
        <v>+1.19%</v>
      </c>
      <c r="J42" cm="1">
        <f t="array" ref="J42">[41]!BIDVOLUME1</f>
        <v>2</v>
      </c>
      <c r="K42" cm="1">
        <f t="array" ref="K42">[41]!BIDPRICE1</f>
        <v>3646</v>
      </c>
      <c r="L42" cm="1">
        <f t="array" ref="L42">[41]!ASKPRICE1</f>
        <v>3647</v>
      </c>
      <c r="M42" cm="1">
        <f t="array" ref="M42">[41]!ASKVOLUME1</f>
        <v>249</v>
      </c>
      <c r="N42" cm="1">
        <f t="array" ref="N42">[41]!OPENPRICE</f>
        <v>3644</v>
      </c>
      <c r="O42" cm="1">
        <f t="array" ref="O42">[41]!HIGH</f>
        <v>3661</v>
      </c>
      <c r="P42" cm="1">
        <f t="array" ref="P42">[41]!LOW</f>
        <v>3621</v>
      </c>
      <c r="Q42" cm="1">
        <f t="array" ref="Q42">[41]!TRADEVOLUME</f>
        <v>210616</v>
      </c>
      <c r="R42" cm="1">
        <f t="array" ref="R42">[41]!POSIVOL</f>
        <v>178207</v>
      </c>
      <c r="S42" cm="1">
        <f t="array" ref="S42">[41]!POSIVOLCHANGE</f>
        <v>5</v>
      </c>
      <c r="T42" cm="1">
        <f t="array" ref="T42">[41]!POSIVOLCHANGEDAILY</f>
        <v>646</v>
      </c>
      <c r="U42" t="str" cm="1">
        <f t="array" ref="U42">[41]!INST_STATE</f>
        <v>连续交易</v>
      </c>
      <c r="V42" t="str" cm="1">
        <f t="array" ref="V42">[41]!UPDATETIME</f>
        <v>22:52:40.500</v>
      </c>
      <c r="W42" cm="1">
        <f t="array" ref="W42">[41]!UPPERLIMITPRICE</f>
        <v>3820</v>
      </c>
      <c r="X42" cm="1">
        <f t="array" ref="X42">[41]!LOWERLIMITPRICE</f>
        <v>3388</v>
      </c>
      <c r="Y42" t="e" cm="1">
        <f t="array" ref="Y42">[41]!CLOSEPRICE</f>
        <v>#N/A</v>
      </c>
      <c r="Z42" t="e" cm="1">
        <f t="array" ref="Z42">[41]!SETTLEPRICE</f>
        <v>#N/A</v>
      </c>
      <c r="AA42" cm="1">
        <f t="array" ref="AA42">[41]!PRECLOSE</f>
        <v>3649</v>
      </c>
      <c r="AB42" cm="1">
        <f t="array" ref="AB42">[41]!PRESETTLEPRICE</f>
        <v>3604</v>
      </c>
      <c r="AC42" t="s">
        <v>112</v>
      </c>
      <c r="AD42" t="s">
        <v>126</v>
      </c>
      <c r="AE42">
        <v>10</v>
      </c>
      <c r="AF42">
        <v>20260714</v>
      </c>
      <c r="AG42" t="e" cm="1">
        <f t="array" ref="AG42">[41]!MARGIN</f>
        <v>#N/A</v>
      </c>
      <c r="AH42" t="e" cm="1">
        <f t="array" ref="AH42">[41]!FEE</f>
        <v>#N/A</v>
      </c>
      <c r="AJ42" cm="1">
        <f t="array" ref="AJ42">[41]!IMPLYBIDVOLUME1</f>
        <v>0</v>
      </c>
      <c r="AK42" t="e" cm="1">
        <f t="array" ref="AK42">[41]!IMPLYBIDPRICE1</f>
        <v>#N/A</v>
      </c>
      <c r="AL42" t="e" cm="1">
        <f t="array" ref="AL42">[41]!IMPLYASKPRICE1</f>
        <v>#N/A</v>
      </c>
      <c r="AM42" cm="1">
        <f t="array" ref="AM42">[41]!IMPLYASKVOLUME1</f>
        <v>0</v>
      </c>
      <c r="AN42" cm="1">
        <f t="array" ref="AN42">[41]!VOLUMEBIDLOT</f>
        <v>0</v>
      </c>
      <c r="AO42" cm="1">
        <f t="array" ref="AO42">[41]!VOLUMEASKLOT</f>
        <v>0</v>
      </c>
    </row>
    <row r="43" spans="1:41" x14ac:dyDescent="0.25">
      <c r="A43" t="s">
        <v>127</v>
      </c>
      <c r="B43" t="s">
        <v>127</v>
      </c>
      <c r="C43" cm="1">
        <f t="array" ref="C43">[42]!NETVOLUME2200107473</f>
        <v>0</v>
      </c>
      <c r="D43" cm="1">
        <f t="array" ref="D43">[42]!LONGPOSITION2200107473</f>
        <v>0</v>
      </c>
      <c r="E43" cm="1">
        <f t="array" ref="E43">[42]!SHORTPOSITION2200107473</f>
        <v>0</v>
      </c>
      <c r="F43" cm="1">
        <f t="array" ref="F43">[42]!MTMPL2200107473</f>
        <v>0</v>
      </c>
      <c r="G43" cm="1">
        <f t="array" ref="G43">[42]!LASTPRICE</f>
        <v>146.9</v>
      </c>
      <c r="H43" t="e" cm="1">
        <f t="array" ref="H43">[42]!NETCHANGE</f>
        <v>#N/A</v>
      </c>
      <c r="I43" t="e" cm="1">
        <f t="array" ref="I43">[42]!NETCHANGERATE</f>
        <v>#N/A</v>
      </c>
      <c r="J43" cm="1">
        <f t="array" ref="J43">[42]!BIDVOLUME1</f>
        <v>2</v>
      </c>
      <c r="K43" cm="1">
        <f t="array" ref="K43">[42]!BIDPRICE1</f>
        <v>143.35</v>
      </c>
      <c r="L43" cm="1">
        <f t="array" ref="L43">[42]!ASKPRICE1</f>
        <v>147</v>
      </c>
      <c r="M43" cm="1">
        <f t="array" ref="M43">[42]!ASKVOLUME1</f>
        <v>1</v>
      </c>
      <c r="N43" t="e" cm="1">
        <f t="array" ref="N43">[42]!OPENPRICE</f>
        <v>#N/A</v>
      </c>
      <c r="O43" t="e" cm="1">
        <f t="array" ref="O43">[42]!HIGH</f>
        <v>#N/A</v>
      </c>
      <c r="P43" t="e" cm="1">
        <f t="array" ref="P43">[42]!LOW</f>
        <v>#N/A</v>
      </c>
      <c r="Q43" cm="1">
        <f t="array" ref="Q43">[42]!TRADEVOLUME</f>
        <v>0</v>
      </c>
      <c r="R43" cm="1">
        <f t="array" ref="R43">[42]!POSIVOL</f>
        <v>45</v>
      </c>
      <c r="S43" t="e" cm="1">
        <f t="array" ref="S43">[42]!POSIVOLCHANGE</f>
        <v>#N/A</v>
      </c>
      <c r="T43" cm="1">
        <f t="array" ref="T43">[42]!POSIVOLCHANGEDAILY</f>
        <v>0</v>
      </c>
      <c r="U43" t="e" cm="1">
        <f t="array" ref="U43">[42]!INST_STATE</f>
        <v>#N/A</v>
      </c>
      <c r="V43" t="str" cm="1">
        <f t="array" ref="V43">[42]!UPDATETIME</f>
        <v>22:00:00.000</v>
      </c>
      <c r="W43" cm="1">
        <f t="array" ref="W43">[42]!UPPERLIMITPRICE</f>
        <v>154.19999999999999</v>
      </c>
      <c r="X43" cm="1">
        <f t="array" ref="X43">[42]!LOWERLIMITPRICE</f>
        <v>139.6</v>
      </c>
      <c r="Y43" t="e" cm="1">
        <f t="array" ref="Y43">[42]!CLOSEPRICE</f>
        <v>#N/A</v>
      </c>
      <c r="Z43" t="e" cm="1">
        <f t="array" ref="Z43">[42]!SETTLEPRICE</f>
        <v>#N/A</v>
      </c>
      <c r="AA43" cm="1">
        <f t="array" ref="AA43">[42]!PRECLOSE</f>
        <v>146.9</v>
      </c>
      <c r="AB43" cm="1">
        <f t="array" ref="AB43">[42]!PRESETTLEPRICE</f>
        <v>146.9</v>
      </c>
      <c r="AC43" t="s">
        <v>112</v>
      </c>
      <c r="AD43" t="s">
        <v>128</v>
      </c>
      <c r="AE43">
        <v>500</v>
      </c>
      <c r="AF43">
        <v>20260714</v>
      </c>
      <c r="AG43" t="e" cm="1">
        <f t="array" ref="AG43">[42]!MARGIN</f>
        <v>#N/A</v>
      </c>
      <c r="AH43" t="e" cm="1">
        <f t="array" ref="AH43">[42]!FEE</f>
        <v>#N/A</v>
      </c>
      <c r="AJ43" cm="1">
        <f t="array" ref="AJ43">[42]!IMPLYBIDVOLUME1</f>
        <v>0</v>
      </c>
      <c r="AK43" t="e" cm="1">
        <f t="array" ref="AK43">[42]!IMPLYBIDPRICE1</f>
        <v>#N/A</v>
      </c>
      <c r="AL43" t="e" cm="1">
        <f t="array" ref="AL43">[42]!IMPLYASKPRICE1</f>
        <v>#N/A</v>
      </c>
      <c r="AM43" cm="1">
        <f t="array" ref="AM43">[42]!IMPLYASKVOLUME1</f>
        <v>0</v>
      </c>
      <c r="AN43" cm="1">
        <f t="array" ref="AN43">[42]!VOLUMEBIDLOT</f>
        <v>0</v>
      </c>
      <c r="AO43" cm="1">
        <f t="array" ref="AO43">[42]!VOLUMEASKLOT</f>
        <v>0</v>
      </c>
    </row>
    <row r="44" spans="1:41" x14ac:dyDescent="0.25">
      <c r="A44" t="s">
        <v>129</v>
      </c>
      <c r="B44" t="s">
        <v>129</v>
      </c>
      <c r="C44" cm="1">
        <f t="array" ref="C44">[43]!NETVOLUME2200107473</f>
        <v>0</v>
      </c>
      <c r="D44" cm="1">
        <f t="array" ref="D44">[43]!LONGPOSITION2200107473</f>
        <v>0</v>
      </c>
      <c r="E44" cm="1">
        <f t="array" ref="E44">[43]!SHORTPOSITION2200107473</f>
        <v>0</v>
      </c>
      <c r="F44" cm="1">
        <f t="array" ref="F44">[43]!MTMPL2200107473</f>
        <v>0</v>
      </c>
      <c r="G44" cm="1">
        <f t="array" ref="G44">[43]!LASTPRICE</f>
        <v>91830</v>
      </c>
      <c r="H44" cm="1">
        <f t="array" ref="H44">[43]!NETCHANGE</f>
        <v>-750</v>
      </c>
      <c r="I44" t="str" cm="1">
        <f t="array" ref="I44">[43]!NETCHANGERATE</f>
        <v>-0.81%</v>
      </c>
      <c r="J44" cm="1">
        <f t="array" ref="J44">[43]!BIDVOLUME1</f>
        <v>1</v>
      </c>
      <c r="K44" cm="1">
        <f t="array" ref="K44">[43]!BIDPRICE1</f>
        <v>91820</v>
      </c>
      <c r="L44" cm="1">
        <f t="array" ref="L44">[43]!ASKPRICE1</f>
        <v>91830</v>
      </c>
      <c r="M44" cm="1">
        <f t="array" ref="M44">[43]!ASKVOLUME1</f>
        <v>1</v>
      </c>
      <c r="N44" cm="1">
        <f t="array" ref="N44">[43]!OPENPRICE</f>
        <v>92280</v>
      </c>
      <c r="O44" cm="1">
        <f t="array" ref="O44">[43]!HIGH</f>
        <v>92320</v>
      </c>
      <c r="P44" cm="1">
        <f t="array" ref="P44">[43]!LOW</f>
        <v>91230</v>
      </c>
      <c r="Q44" cm="1">
        <f t="array" ref="Q44">[43]!TRADEVOLUME</f>
        <v>6059</v>
      </c>
      <c r="R44" cm="1">
        <f t="array" ref="R44">[43]!POSIVOL</f>
        <v>9176</v>
      </c>
      <c r="S44" cm="1">
        <f t="array" ref="S44">[43]!POSIVOLCHANGE</f>
        <v>0</v>
      </c>
      <c r="T44" cm="1">
        <f t="array" ref="T44">[43]!POSIVOLCHANGEDAILY</f>
        <v>51</v>
      </c>
      <c r="U44" t="str" cm="1">
        <f t="array" ref="U44">[43]!INST_STATE</f>
        <v>连续交易</v>
      </c>
      <c r="V44" t="str" cm="1">
        <f t="array" ref="V44">[43]!UPDATETIME</f>
        <v>22:52:40.500</v>
      </c>
      <c r="W44" cm="1">
        <f t="array" ref="W44">[43]!UPPERLIMITPRICE</f>
        <v>101830</v>
      </c>
      <c r="X44" cm="1">
        <f t="array" ref="X44">[43]!LOWERLIMITPRICE</f>
        <v>83320</v>
      </c>
      <c r="Y44" t="e" cm="1">
        <f t="array" ref="Y44">[43]!CLOSEPRICE</f>
        <v>#N/A</v>
      </c>
      <c r="Z44" t="e" cm="1">
        <f t="array" ref="Z44">[43]!SETTLEPRICE</f>
        <v>#N/A</v>
      </c>
      <c r="AA44" cm="1">
        <f t="array" ref="AA44">[43]!PRECLOSE</f>
        <v>92660</v>
      </c>
      <c r="AB44" cm="1">
        <f t="array" ref="AB44">[43]!PRESETTLEPRICE</f>
        <v>92580</v>
      </c>
      <c r="AC44" t="s">
        <v>130</v>
      </c>
      <c r="AD44" t="s">
        <v>131</v>
      </c>
      <c r="AE44">
        <v>5</v>
      </c>
      <c r="AF44">
        <v>20260615</v>
      </c>
      <c r="AG44" t="e" cm="1">
        <f t="array" ref="AG44">[43]!MARGIN</f>
        <v>#N/A</v>
      </c>
      <c r="AH44" t="e" cm="1">
        <f t="array" ref="AH44">[43]!FEE</f>
        <v>#N/A</v>
      </c>
      <c r="AJ44" cm="1">
        <f t="array" ref="AJ44">[43]!IMPLYBIDVOLUME1</f>
        <v>0</v>
      </c>
      <c r="AK44" t="e" cm="1">
        <f t="array" ref="AK44">[43]!IMPLYBIDPRICE1</f>
        <v>#N/A</v>
      </c>
      <c r="AL44" t="e" cm="1">
        <f t="array" ref="AL44">[43]!IMPLYASKPRICE1</f>
        <v>#N/A</v>
      </c>
      <c r="AM44" cm="1">
        <f t="array" ref="AM44">[43]!IMPLYASKVOLUME1</f>
        <v>0</v>
      </c>
      <c r="AN44" cm="1">
        <f t="array" ref="AN44">[43]!VOLUMEBIDLOT</f>
        <v>0</v>
      </c>
      <c r="AO44" cm="1">
        <f t="array" ref="AO44">[43]!VOLUMEASKLOT</f>
        <v>0</v>
      </c>
    </row>
    <row r="45" spans="1:41" x14ac:dyDescent="0.25">
      <c r="A45" t="s">
        <v>132</v>
      </c>
      <c r="B45" t="s">
        <v>132</v>
      </c>
      <c r="C45" cm="1">
        <f t="array" ref="C45">[44]!NETVOLUME2200107473</f>
        <v>0</v>
      </c>
      <c r="D45" cm="1">
        <f t="array" ref="D45">[44]!LONGPOSITION2200107473</f>
        <v>0</v>
      </c>
      <c r="E45" cm="1">
        <f t="array" ref="E45">[44]!SHORTPOSITION2200107473</f>
        <v>0</v>
      </c>
      <c r="F45" cm="1">
        <f t="array" ref="F45">[44]!MTMPL2200107473</f>
        <v>0</v>
      </c>
      <c r="G45" cm="1">
        <f t="array" ref="G45">[44]!LASTPRICE</f>
        <v>15475</v>
      </c>
      <c r="H45" cm="1">
        <f t="array" ref="H45">[44]!NETCHANGE</f>
        <v>-280</v>
      </c>
      <c r="I45" t="str" cm="1">
        <f t="array" ref="I45">[44]!NETCHANGERATE</f>
        <v>-1.78%</v>
      </c>
      <c r="J45" cm="1">
        <f t="array" ref="J45">[44]!BIDVOLUME1</f>
        <v>6</v>
      </c>
      <c r="K45" cm="1">
        <f t="array" ref="K45">[44]!BIDPRICE1</f>
        <v>15475</v>
      </c>
      <c r="L45" cm="1">
        <f t="array" ref="L45">[44]!ASKPRICE1</f>
        <v>15480</v>
      </c>
      <c r="M45" cm="1">
        <f t="array" ref="M45">[44]!ASKVOLUME1</f>
        <v>3</v>
      </c>
      <c r="N45" cm="1">
        <f t="array" ref="N45">[44]!OPENPRICE</f>
        <v>15705</v>
      </c>
      <c r="O45" cm="1">
        <f t="array" ref="O45">[44]!HIGH</f>
        <v>15820</v>
      </c>
      <c r="P45" cm="1">
        <f t="array" ref="P45">[44]!LOW</f>
        <v>15265</v>
      </c>
      <c r="Q45" cm="1">
        <f t="array" ref="Q45">[44]!TRADEVOLUME</f>
        <v>184517</v>
      </c>
      <c r="R45" cm="1">
        <f t="array" ref="R45">[44]!POSIVOL</f>
        <v>28249</v>
      </c>
      <c r="S45" t="e" cm="1">
        <f t="array" ref="S45">[44]!POSIVOLCHANGE</f>
        <v>#N/A</v>
      </c>
      <c r="T45" cm="1">
        <f t="array" ref="T45">[44]!POSIVOLCHANGEDAILY</f>
        <v>1539</v>
      </c>
      <c r="U45" t="str" cm="1">
        <f t="array" ref="U45">[44]!INST_STATE</f>
        <v>连续交易</v>
      </c>
      <c r="V45" t="str" cm="1">
        <f t="array" ref="V45">[44]!UPDATETIME</f>
        <v>22:00:47.000</v>
      </c>
      <c r="W45" cm="1">
        <f t="array" ref="W45">[44]!UPPERLIMITPRICE</f>
        <v>17645</v>
      </c>
      <c r="X45" cm="1">
        <f t="array" ref="X45">[44]!LOWERLIMITPRICE</f>
        <v>13860</v>
      </c>
      <c r="Y45" t="e" cm="1">
        <f t="array" ref="Y45">[44]!CLOSEPRICE</f>
        <v>#N/A</v>
      </c>
      <c r="Z45" t="e" cm="1">
        <f t="array" ref="Z45">[44]!SETTLEPRICE</f>
        <v>#N/A</v>
      </c>
      <c r="AA45" cm="1">
        <f t="array" ref="AA45">[44]!PRECLOSE</f>
        <v>15755</v>
      </c>
      <c r="AB45" cm="1">
        <f t="array" ref="AB45">[44]!PRESETTLEPRICE</f>
        <v>15755</v>
      </c>
      <c r="AC45" t="s">
        <v>115</v>
      </c>
      <c r="AD45" t="s">
        <v>133</v>
      </c>
      <c r="AE45">
        <v>5</v>
      </c>
      <c r="AF45">
        <v>20260615</v>
      </c>
      <c r="AG45" t="e" cm="1">
        <f t="array" ref="AG45">[44]!MARGIN</f>
        <v>#N/A</v>
      </c>
      <c r="AH45" t="e" cm="1">
        <f t="array" ref="AH45">[44]!FEE</f>
        <v>#N/A</v>
      </c>
      <c r="AJ45" cm="1">
        <f t="array" ref="AJ45">[44]!IMPLYBIDVOLUME1</f>
        <v>0</v>
      </c>
      <c r="AK45" t="e" cm="1">
        <f t="array" ref="AK45">[44]!IMPLYBIDPRICE1</f>
        <v>#N/A</v>
      </c>
      <c r="AL45" t="e" cm="1">
        <f t="array" ref="AL45">[44]!IMPLYASKPRICE1</f>
        <v>#N/A</v>
      </c>
      <c r="AM45" cm="1">
        <f t="array" ref="AM45">[44]!IMPLYASKVOLUME1</f>
        <v>0</v>
      </c>
      <c r="AN45" cm="1">
        <f t="array" ref="AN45">[44]!VOLUMEBIDLOT</f>
        <v>0</v>
      </c>
      <c r="AO45" cm="1">
        <f t="array" ref="AO45">[44]!VOLUMEASKLOT</f>
        <v>0</v>
      </c>
    </row>
    <row r="46" spans="1:41" x14ac:dyDescent="0.25">
      <c r="A46" t="s">
        <v>134</v>
      </c>
      <c r="B46" t="s">
        <v>134</v>
      </c>
      <c r="C46" cm="1">
        <f t="array" ref="C46">[45]!NETVOLUME2200107473</f>
        <v>0</v>
      </c>
      <c r="D46" cm="1">
        <f t="array" ref="D46">[45]!LONGPOSITION2200107473</f>
        <v>0</v>
      </c>
      <c r="E46" cm="1">
        <f t="array" ref="E46">[45]!SHORTPOSITION2200107473</f>
        <v>0</v>
      </c>
      <c r="F46" cm="1">
        <f t="array" ref="F46">[45]!MTMPL2200107473</f>
        <v>0</v>
      </c>
      <c r="G46" cm="1">
        <f t="array" ref="G46">[45]!LASTPRICE</f>
        <v>4529</v>
      </c>
      <c r="H46" cm="1">
        <f t="array" ref="H46">[45]!NETCHANGE</f>
        <v>69</v>
      </c>
      <c r="I46" t="str" cm="1">
        <f t="array" ref="I46">[45]!NETCHANGERATE</f>
        <v>+1.55%</v>
      </c>
      <c r="J46" cm="1">
        <f t="array" ref="J46">[45]!BIDVOLUME1</f>
        <v>2</v>
      </c>
      <c r="K46" cm="1">
        <f t="array" ref="K46">[45]!BIDPRICE1</f>
        <v>4529</v>
      </c>
      <c r="L46" cm="1">
        <f t="array" ref="L46">[45]!ASKPRICE1</f>
        <v>4530</v>
      </c>
      <c r="M46" cm="1">
        <f t="array" ref="M46">[45]!ASKVOLUME1</f>
        <v>6</v>
      </c>
      <c r="N46" cm="1">
        <f t="array" ref="N46">[45]!OPENPRICE</f>
        <v>4513</v>
      </c>
      <c r="O46" cm="1">
        <f t="array" ref="O46">[45]!HIGH</f>
        <v>4579</v>
      </c>
      <c r="P46" cm="1">
        <f t="array" ref="P46">[45]!LOW</f>
        <v>4495</v>
      </c>
      <c r="Q46" cm="1">
        <f t="array" ref="Q46">[45]!TRADEVOLUME</f>
        <v>316093</v>
      </c>
      <c r="R46" cm="1">
        <f t="array" ref="R46">[45]!POSIVOL</f>
        <v>139240</v>
      </c>
      <c r="S46" t="e" cm="1">
        <f t="array" ref="S46">[45]!POSIVOLCHANGE</f>
        <v>#N/A</v>
      </c>
      <c r="T46" cm="1">
        <f t="array" ref="T46">[45]!POSIVOLCHANGEDAILY</f>
        <v>-8063</v>
      </c>
      <c r="U46" t="str" cm="1">
        <f t="array" ref="U46">[45]!INST_STATE</f>
        <v>连续交易</v>
      </c>
      <c r="V46" t="str" cm="1">
        <f t="array" ref="V46">[45]!UPDATETIME</f>
        <v>22:00:47.000</v>
      </c>
      <c r="W46" cm="1">
        <f t="array" ref="W46">[45]!UPPERLIMITPRICE</f>
        <v>4995</v>
      </c>
      <c r="X46" cm="1">
        <f t="array" ref="X46">[45]!LOWERLIMITPRICE</f>
        <v>3924</v>
      </c>
      <c r="Y46" t="e" cm="1">
        <f t="array" ref="Y46">[45]!CLOSEPRICE</f>
        <v>#N/A</v>
      </c>
      <c r="Z46" t="e" cm="1">
        <f t="array" ref="Z46">[45]!SETTLEPRICE</f>
        <v>#N/A</v>
      </c>
      <c r="AA46" cm="1">
        <f t="array" ref="AA46">[45]!PRECLOSE</f>
        <v>4513</v>
      </c>
      <c r="AB46" cm="1">
        <f t="array" ref="AB46">[45]!PRESETTLEPRICE</f>
        <v>4460</v>
      </c>
      <c r="AC46" t="s">
        <v>115</v>
      </c>
      <c r="AD46" t="s">
        <v>135</v>
      </c>
      <c r="AE46">
        <v>10</v>
      </c>
      <c r="AF46">
        <v>20260615</v>
      </c>
      <c r="AG46" t="e" cm="1">
        <f t="array" ref="AG46">[45]!MARGIN</f>
        <v>#N/A</v>
      </c>
      <c r="AH46" t="e" cm="1">
        <f t="array" ref="AH46">[45]!FEE</f>
        <v>#N/A</v>
      </c>
      <c r="AJ46" cm="1">
        <f t="array" ref="AJ46">[45]!IMPLYBIDVOLUME1</f>
        <v>0</v>
      </c>
      <c r="AK46" t="e" cm="1">
        <f t="array" ref="AK46">[45]!IMPLYBIDPRICE1</f>
        <v>#N/A</v>
      </c>
      <c r="AL46" t="e" cm="1">
        <f t="array" ref="AL46">[45]!IMPLYASKPRICE1</f>
        <v>#N/A</v>
      </c>
      <c r="AM46" cm="1">
        <f t="array" ref="AM46">[45]!IMPLYASKVOLUME1</f>
        <v>0</v>
      </c>
      <c r="AN46" cm="1">
        <f t="array" ref="AN46">[45]!VOLUMEBIDLOT</f>
        <v>0</v>
      </c>
      <c r="AO46" cm="1">
        <f t="array" ref="AO46">[45]!VOLUMEASKLOT</f>
        <v>0</v>
      </c>
    </row>
    <row r="47" spans="1:41" x14ac:dyDescent="0.25">
      <c r="A47" t="s">
        <v>136</v>
      </c>
      <c r="B47" t="s">
        <v>136</v>
      </c>
      <c r="C47" cm="1">
        <f t="array" ref="C47">[46]!NETVOLUME2200107473</f>
        <v>0</v>
      </c>
      <c r="D47" cm="1">
        <f t="array" ref="D47">[46]!LONGPOSITION2200107473</f>
        <v>0</v>
      </c>
      <c r="E47" cm="1">
        <f t="array" ref="E47">[46]!SHORTPOSITION2200107473</f>
        <v>0</v>
      </c>
      <c r="F47" cm="1">
        <f t="array" ref="F47">[46]!MTMPL2200107473</f>
        <v>0</v>
      </c>
      <c r="G47" cm="1">
        <f t="array" ref="G47">[46]!LASTPRICE</f>
        <v>8291</v>
      </c>
      <c r="H47" cm="1">
        <f t="array" ref="H47">[46]!NETCHANGE</f>
        <v>66</v>
      </c>
      <c r="I47" t="str" cm="1">
        <f t="array" ref="I47">[46]!NETCHANGERATE</f>
        <v>+0.80%</v>
      </c>
      <c r="J47" cm="1">
        <f t="array" ref="J47">[46]!BIDVOLUME1</f>
        <v>5</v>
      </c>
      <c r="K47" cm="1">
        <f t="array" ref="K47">[46]!BIDPRICE1</f>
        <v>8285</v>
      </c>
      <c r="L47" cm="1">
        <f t="array" ref="L47">[46]!ASKPRICE1</f>
        <v>8293</v>
      </c>
      <c r="M47" cm="1">
        <f t="array" ref="M47">[46]!ASKVOLUME1</f>
        <v>12</v>
      </c>
      <c r="N47" cm="1">
        <f t="array" ref="N47">[46]!OPENPRICE</f>
        <v>8245</v>
      </c>
      <c r="O47" cm="1">
        <f t="array" ref="O47">[46]!HIGH</f>
        <v>8367</v>
      </c>
      <c r="P47" cm="1">
        <f t="array" ref="P47">[46]!LOW</f>
        <v>8230</v>
      </c>
      <c r="Q47" cm="1">
        <f t="array" ref="Q47">[46]!TRADEVOLUME</f>
        <v>7502</v>
      </c>
      <c r="R47" cm="1">
        <f t="array" ref="R47">[46]!POSIVOL</f>
        <v>8355</v>
      </c>
      <c r="S47" cm="1">
        <f t="array" ref="S47">[46]!POSIVOLCHANGE</f>
        <v>0</v>
      </c>
      <c r="T47" cm="1">
        <f t="array" ref="T47">[46]!POSIVOLCHANGEDAILY</f>
        <v>-583</v>
      </c>
      <c r="U47" t="str" cm="1">
        <f t="array" ref="U47">[46]!INST_STATE</f>
        <v>连续交易</v>
      </c>
      <c r="V47" t="str" cm="1">
        <f t="array" ref="V47">[46]!UPDATETIME</f>
        <v>22:52:38.500</v>
      </c>
      <c r="W47" cm="1">
        <f t="array" ref="W47">[46]!UPPERLIMITPRICE</f>
        <v>9212</v>
      </c>
      <c r="X47" cm="1">
        <f t="array" ref="X47">[46]!LOWERLIMITPRICE</f>
        <v>7238</v>
      </c>
      <c r="Y47" t="e" cm="1">
        <f t="array" ref="Y47">[46]!CLOSEPRICE</f>
        <v>#N/A</v>
      </c>
      <c r="Z47" t="e" cm="1">
        <f t="array" ref="Z47">[46]!SETTLEPRICE</f>
        <v>#N/A</v>
      </c>
      <c r="AA47" cm="1">
        <f t="array" ref="AA47">[46]!PRECLOSE</f>
        <v>8283</v>
      </c>
      <c r="AB47" cm="1">
        <f t="array" ref="AB47">[46]!PRESETTLEPRICE</f>
        <v>8225</v>
      </c>
      <c r="AC47" t="s">
        <v>112</v>
      </c>
      <c r="AD47" t="s">
        <v>137</v>
      </c>
      <c r="AE47">
        <v>30</v>
      </c>
      <c r="AF47">
        <v>20260625</v>
      </c>
      <c r="AG47" t="e" cm="1">
        <f t="array" ref="AG47">[46]!MARGIN</f>
        <v>#N/A</v>
      </c>
      <c r="AH47" t="e" cm="1">
        <f t="array" ref="AH47">[46]!FEE</f>
        <v>#N/A</v>
      </c>
      <c r="AJ47" cm="1">
        <f t="array" ref="AJ47">[46]!IMPLYBIDVOLUME1</f>
        <v>0</v>
      </c>
      <c r="AK47" t="e" cm="1">
        <f t="array" ref="AK47">[46]!IMPLYBIDPRICE1</f>
        <v>#N/A</v>
      </c>
      <c r="AL47" t="e" cm="1">
        <f t="array" ref="AL47">[46]!IMPLYASKPRICE1</f>
        <v>#N/A</v>
      </c>
      <c r="AM47" cm="1">
        <f t="array" ref="AM47">[46]!IMPLYASKVOLUME1</f>
        <v>0</v>
      </c>
      <c r="AN47" cm="1">
        <f t="array" ref="AN47">[46]!VOLUMEBIDLOT</f>
        <v>0</v>
      </c>
      <c r="AO47" cm="1">
        <f t="array" ref="AO47">[46]!VOLUMEASKLOT</f>
        <v>0</v>
      </c>
    </row>
    <row r="48" spans="1:41" x14ac:dyDescent="0.25">
      <c r="A48" t="s">
        <v>138</v>
      </c>
      <c r="B48" t="s">
        <v>138</v>
      </c>
      <c r="C48" cm="1">
        <f t="array" ref="C48">[47]!NETVOLUME2200107473</f>
        <v>0</v>
      </c>
      <c r="D48" cm="1">
        <f t="array" ref="D48">[47]!LONGPOSITION2200107473</f>
        <v>0</v>
      </c>
      <c r="E48" cm="1">
        <f t="array" ref="E48">[47]!SHORTPOSITION2200107473</f>
        <v>0</v>
      </c>
      <c r="F48" cm="1">
        <f t="array" ref="F48">[47]!MTMPL2200107473</f>
        <v>0</v>
      </c>
      <c r="G48" cm="1">
        <f t="array" ref="G48">[47]!LASTPRICE</f>
        <v>2352</v>
      </c>
      <c r="H48" cm="1">
        <f t="array" ref="H48">[47]!NETCHANGE</f>
        <v>-7</v>
      </c>
      <c r="I48" t="str" cm="1">
        <f t="array" ref="I48">[47]!NETCHANGERATE</f>
        <v>-0.30%</v>
      </c>
      <c r="J48" cm="1">
        <f t="array" ref="J48">[47]!BIDVOLUME1</f>
        <v>6517</v>
      </c>
      <c r="K48" cm="1">
        <f t="array" ref="K48">[47]!BIDPRICE1</f>
        <v>2351</v>
      </c>
      <c r="L48" cm="1">
        <f t="array" ref="L48">[47]!ASKPRICE1</f>
        <v>2352</v>
      </c>
      <c r="M48" cm="1">
        <f t="array" ref="M48">[47]!ASKVOLUME1</f>
        <v>1746</v>
      </c>
      <c r="N48" cm="1">
        <f t="array" ref="N48">[47]!OPENPRICE</f>
        <v>2365</v>
      </c>
      <c r="O48" cm="1">
        <f t="array" ref="O48">[47]!HIGH</f>
        <v>2371</v>
      </c>
      <c r="P48" cm="1">
        <f t="array" ref="P48">[47]!LOW</f>
        <v>2351</v>
      </c>
      <c r="Q48" cm="1">
        <f t="array" ref="Q48">[47]!TRADEVOLUME</f>
        <v>506162</v>
      </c>
      <c r="R48" cm="1">
        <f t="array" ref="R48">[47]!POSIVOL</f>
        <v>1173536</v>
      </c>
      <c r="S48" cm="1">
        <f t="array" ref="S48">[47]!POSIVOLCHANGE</f>
        <v>-1</v>
      </c>
      <c r="T48" cm="1">
        <f t="array" ref="T48">[47]!POSIVOLCHANGEDAILY</f>
        <v>-3800</v>
      </c>
      <c r="U48" t="str" cm="1">
        <f t="array" ref="U48">[47]!INST_STATE</f>
        <v>连续交易</v>
      </c>
      <c r="V48" t="str" cm="1">
        <f t="array" ref="V48">[47]!UPDATETIME</f>
        <v>22:52:41.000</v>
      </c>
      <c r="W48" cm="1">
        <f t="array" ref="W48">[47]!UPPERLIMITPRICE</f>
        <v>2500</v>
      </c>
      <c r="X48" cm="1">
        <f t="array" ref="X48">[47]!LOWERLIMITPRICE</f>
        <v>2218</v>
      </c>
      <c r="Y48" t="e" cm="1">
        <f t="array" ref="Y48">[47]!CLOSEPRICE</f>
        <v>#N/A</v>
      </c>
      <c r="Z48" t="e" cm="1">
        <f t="array" ref="Z48">[47]!SETTLEPRICE</f>
        <v>#N/A</v>
      </c>
      <c r="AA48" cm="1">
        <f t="array" ref="AA48">[47]!PRECLOSE</f>
        <v>2365</v>
      </c>
      <c r="AB48" cm="1">
        <f t="array" ref="AB48">[47]!PRESETTLEPRICE</f>
        <v>2359</v>
      </c>
      <c r="AC48" t="s">
        <v>112</v>
      </c>
      <c r="AD48" t="s">
        <v>139</v>
      </c>
      <c r="AE48">
        <v>10</v>
      </c>
      <c r="AF48">
        <v>20260714</v>
      </c>
      <c r="AG48" t="e" cm="1">
        <f t="array" ref="AG48">[47]!MARGIN</f>
        <v>#N/A</v>
      </c>
      <c r="AH48" t="e" cm="1">
        <f t="array" ref="AH48">[47]!FEE</f>
        <v>#N/A</v>
      </c>
      <c r="AJ48" cm="1">
        <f t="array" ref="AJ48">[47]!IMPLYBIDVOLUME1</f>
        <v>0</v>
      </c>
      <c r="AK48" t="e" cm="1">
        <f t="array" ref="AK48">[47]!IMPLYBIDPRICE1</f>
        <v>#N/A</v>
      </c>
      <c r="AL48" t="e" cm="1">
        <f t="array" ref="AL48">[47]!IMPLYASKPRICE1</f>
        <v>#N/A</v>
      </c>
      <c r="AM48" cm="1">
        <f t="array" ref="AM48">[47]!IMPLYASKVOLUME1</f>
        <v>0</v>
      </c>
      <c r="AN48" cm="1">
        <f t="array" ref="AN48">[47]!VOLUMEBIDLOT</f>
        <v>0</v>
      </c>
      <c r="AO48" cm="1">
        <f t="array" ref="AO48">[47]!VOLUMEASKLOT</f>
        <v>0</v>
      </c>
    </row>
    <row r="49" spans="1:41" x14ac:dyDescent="0.25">
      <c r="A49" t="s">
        <v>140</v>
      </c>
      <c r="B49" t="s">
        <v>140</v>
      </c>
      <c r="C49" cm="1">
        <f t="array" ref="C49">[48]!NETVOLUME2200107473</f>
        <v>0</v>
      </c>
      <c r="D49" cm="1">
        <f t="array" ref="D49">[48]!LONGPOSITION2200107473</f>
        <v>0</v>
      </c>
      <c r="E49" cm="1">
        <f t="array" ref="E49">[48]!SHORTPOSITION2200107473</f>
        <v>0</v>
      </c>
      <c r="F49" cm="1">
        <f t="array" ref="F49">[48]!MTMPL2200107473</f>
        <v>0</v>
      </c>
      <c r="G49" cm="1">
        <f t="array" ref="G49">[48]!LASTPRICE</f>
        <v>2672</v>
      </c>
      <c r="H49" cm="1">
        <f t="array" ref="H49">[48]!NETCHANGE</f>
        <v>-13</v>
      </c>
      <c r="I49" t="str" cm="1">
        <f t="array" ref="I49">[48]!NETCHANGERATE</f>
        <v>-0.48%</v>
      </c>
      <c r="J49" cm="1">
        <f t="array" ref="J49">[48]!BIDVOLUME1</f>
        <v>1159</v>
      </c>
      <c r="K49" cm="1">
        <f t="array" ref="K49">[48]!BIDPRICE1</f>
        <v>2672</v>
      </c>
      <c r="L49" cm="1">
        <f t="array" ref="L49">[48]!ASKPRICE1</f>
        <v>2673</v>
      </c>
      <c r="M49" cm="1">
        <f t="array" ref="M49">[48]!ASKVOLUME1</f>
        <v>520</v>
      </c>
      <c r="N49" cm="1">
        <f t="array" ref="N49">[48]!OPENPRICE</f>
        <v>2693</v>
      </c>
      <c r="O49" cm="1">
        <f t="array" ref="O49">[48]!HIGH</f>
        <v>2698</v>
      </c>
      <c r="P49" cm="1">
        <f t="array" ref="P49">[48]!LOW</f>
        <v>2672</v>
      </c>
      <c r="Q49" cm="1">
        <f t="array" ref="Q49">[48]!TRADEVOLUME</f>
        <v>122235</v>
      </c>
      <c r="R49" cm="1">
        <f t="array" ref="R49">[48]!POSIVOL</f>
        <v>312787</v>
      </c>
      <c r="S49" cm="1">
        <f t="array" ref="S49">[48]!POSIVOLCHANGE</f>
        <v>0</v>
      </c>
      <c r="T49" cm="1">
        <f t="array" ref="T49">[48]!POSIVOLCHANGEDAILY</f>
        <v>3013</v>
      </c>
      <c r="U49" t="str" cm="1">
        <f t="array" ref="U49">[48]!INST_STATE</f>
        <v>连续交易</v>
      </c>
      <c r="V49" t="str" cm="1">
        <f t="array" ref="V49">[48]!UPDATETIME</f>
        <v>22:52:39.500</v>
      </c>
      <c r="W49" cm="1">
        <f t="array" ref="W49">[48]!UPPERLIMITPRICE</f>
        <v>2819</v>
      </c>
      <c r="X49" cm="1">
        <f t="array" ref="X49">[48]!LOWERLIMITPRICE</f>
        <v>2551</v>
      </c>
      <c r="Y49" t="e" cm="1">
        <f t="array" ref="Y49">[48]!CLOSEPRICE</f>
        <v>#N/A</v>
      </c>
      <c r="Z49" t="e" cm="1">
        <f t="array" ref="Z49">[48]!SETTLEPRICE</f>
        <v>#N/A</v>
      </c>
      <c r="AA49" cm="1">
        <f t="array" ref="AA49">[48]!PRECLOSE</f>
        <v>2691</v>
      </c>
      <c r="AB49" cm="1">
        <f t="array" ref="AB49">[48]!PRESETTLEPRICE</f>
        <v>2685</v>
      </c>
      <c r="AC49" t="s">
        <v>112</v>
      </c>
      <c r="AD49" t="s">
        <v>141</v>
      </c>
      <c r="AE49">
        <v>10</v>
      </c>
      <c r="AF49">
        <v>20260714</v>
      </c>
      <c r="AG49" t="e" cm="1">
        <f t="array" ref="AG49">[48]!MARGIN</f>
        <v>#N/A</v>
      </c>
      <c r="AH49" t="e" cm="1">
        <f t="array" ref="AH49">[48]!FEE</f>
        <v>#N/A</v>
      </c>
      <c r="AJ49" cm="1">
        <f t="array" ref="AJ49">[48]!IMPLYBIDVOLUME1</f>
        <v>0</v>
      </c>
      <c r="AK49" t="e" cm="1">
        <f t="array" ref="AK49">[48]!IMPLYBIDPRICE1</f>
        <v>#N/A</v>
      </c>
      <c r="AL49" t="e" cm="1">
        <f t="array" ref="AL49">[48]!IMPLYASKPRICE1</f>
        <v>#N/A</v>
      </c>
      <c r="AM49" cm="1">
        <f t="array" ref="AM49">[48]!IMPLYASKVOLUME1</f>
        <v>0</v>
      </c>
      <c r="AN49" cm="1">
        <f t="array" ref="AN49">[48]!VOLUMEBIDLOT</f>
        <v>0</v>
      </c>
      <c r="AO49" cm="1">
        <f t="array" ref="AO49">[48]!VOLUMEASKLOT</f>
        <v>0</v>
      </c>
    </row>
    <row r="50" spans="1:41" x14ac:dyDescent="0.25">
      <c r="A50" t="s">
        <v>142</v>
      </c>
      <c r="B50" t="s">
        <v>142</v>
      </c>
      <c r="C50" cm="1">
        <f t="array" ref="C50">[49]!NETVOLUME2200107473</f>
        <v>0</v>
      </c>
      <c r="D50" cm="1">
        <f t="array" ref="D50">[49]!LONGPOSITION2200107473</f>
        <v>0</v>
      </c>
      <c r="E50" cm="1">
        <f t="array" ref="E50">[49]!SHORTPOSITION2200107473</f>
        <v>0</v>
      </c>
      <c r="F50" cm="1">
        <f t="array" ref="F50">[49]!MTMPL2200107473</f>
        <v>0</v>
      </c>
      <c r="G50" cm="1">
        <f t="array" ref="G50">[49]!LASTPRICE</f>
        <v>103980</v>
      </c>
      <c r="H50" cm="1">
        <f t="array" ref="H50">[49]!NETCHANGE</f>
        <v>-480</v>
      </c>
      <c r="I50" t="str" cm="1">
        <f t="array" ref="I50">[49]!NETCHANGERATE</f>
        <v>-0.46%</v>
      </c>
      <c r="J50" cm="1">
        <f t="array" ref="J50">[49]!BIDVOLUME1</f>
        <v>2</v>
      </c>
      <c r="K50" cm="1">
        <f t="array" ref="K50">[49]!BIDPRICE1</f>
        <v>103980</v>
      </c>
      <c r="L50" cm="1">
        <f t="array" ref="L50">[49]!ASKPRICE1</f>
        <v>104010</v>
      </c>
      <c r="M50" cm="1">
        <f t="array" ref="M50">[49]!ASKVOLUME1</f>
        <v>2</v>
      </c>
      <c r="N50" cm="1">
        <f t="array" ref="N50">[49]!OPENPRICE</f>
        <v>104090</v>
      </c>
      <c r="O50" cm="1">
        <f t="array" ref="O50">[49]!HIGH</f>
        <v>104240</v>
      </c>
      <c r="P50" cm="1">
        <f t="array" ref="P50">[49]!LOW</f>
        <v>103000</v>
      </c>
      <c r="Q50" cm="1">
        <f t="array" ref="Q50">[49]!TRADEVOLUME</f>
        <v>78028</v>
      </c>
      <c r="R50" cm="1">
        <f t="array" ref="R50">[49]!POSIVOL</f>
        <v>151632</v>
      </c>
      <c r="S50" t="e" cm="1">
        <f t="array" ref="S50">[49]!POSIVOLCHANGE</f>
        <v>#N/A</v>
      </c>
      <c r="T50" cm="1">
        <f t="array" ref="T50">[49]!POSIVOLCHANGEDAILY</f>
        <v>26</v>
      </c>
      <c r="U50" t="str" cm="1">
        <f t="array" ref="U50">[49]!INST_STATE</f>
        <v>连续交易</v>
      </c>
      <c r="V50" t="str" cm="1">
        <f t="array" ref="V50">[49]!UPDATETIME</f>
        <v>22:00:47.000</v>
      </c>
      <c r="W50" cm="1">
        <f t="array" ref="W50">[49]!UPPERLIMITPRICE</f>
        <v>114900</v>
      </c>
      <c r="X50" cm="1">
        <f t="array" ref="X50">[49]!LOWERLIMITPRICE</f>
        <v>94010</v>
      </c>
      <c r="Y50" t="e" cm="1">
        <f t="array" ref="Y50">[49]!CLOSEPRICE</f>
        <v>#N/A</v>
      </c>
      <c r="Z50" t="e" cm="1">
        <f t="array" ref="Z50">[49]!SETTLEPRICE</f>
        <v>#N/A</v>
      </c>
      <c r="AA50" cm="1">
        <f t="array" ref="AA50">[49]!PRECLOSE</f>
        <v>104540</v>
      </c>
      <c r="AB50" cm="1">
        <f t="array" ref="AB50">[49]!PRESETTLEPRICE</f>
        <v>104460</v>
      </c>
      <c r="AC50" t="s">
        <v>115</v>
      </c>
      <c r="AD50" t="s">
        <v>143</v>
      </c>
      <c r="AE50">
        <v>5</v>
      </c>
      <c r="AF50">
        <v>20260715</v>
      </c>
      <c r="AG50" t="e" cm="1">
        <f t="array" ref="AG50">[49]!MARGIN</f>
        <v>#N/A</v>
      </c>
      <c r="AH50" t="e" cm="1">
        <f t="array" ref="AH50">[49]!FEE</f>
        <v>#N/A</v>
      </c>
      <c r="AJ50" cm="1">
        <f t="array" ref="AJ50">[49]!IMPLYBIDVOLUME1</f>
        <v>0</v>
      </c>
      <c r="AK50" t="e" cm="1">
        <f t="array" ref="AK50">[49]!IMPLYBIDPRICE1</f>
        <v>#N/A</v>
      </c>
      <c r="AL50" t="e" cm="1">
        <f t="array" ref="AL50">[49]!IMPLYASKPRICE1</f>
        <v>#N/A</v>
      </c>
      <c r="AM50" cm="1">
        <f t="array" ref="AM50">[49]!IMPLYASKVOLUME1</f>
        <v>0</v>
      </c>
      <c r="AN50" cm="1">
        <f t="array" ref="AN50">[49]!VOLUMEBIDLOT</f>
        <v>0</v>
      </c>
      <c r="AO50" cm="1">
        <f t="array" ref="AO50">[49]!VOLUMEASKLOT</f>
        <v>0</v>
      </c>
    </row>
    <row r="51" spans="1:41" x14ac:dyDescent="0.25">
      <c r="A51" t="s">
        <v>144</v>
      </c>
      <c r="B51" t="s">
        <v>144</v>
      </c>
      <c r="C51" cm="1">
        <f t="array" ref="C51">[50]!NETVOLUME2200107473</f>
        <v>0</v>
      </c>
      <c r="D51" cm="1">
        <f t="array" ref="D51">[50]!LONGPOSITION2200107473</f>
        <v>0</v>
      </c>
      <c r="E51" cm="1">
        <f t="array" ref="E51">[50]!SHORTPOSITION2200107473</f>
        <v>0</v>
      </c>
      <c r="F51" cm="1">
        <f t="array" ref="F51">[50]!MTMPL2200107473</f>
        <v>0</v>
      </c>
      <c r="G51" cm="1">
        <f t="array" ref="G51">[50]!LASTPRICE</f>
        <v>9382</v>
      </c>
      <c r="H51" cm="1">
        <f t="array" ref="H51">[50]!NETCHANGE</f>
        <v>82</v>
      </c>
      <c r="I51" t="str" cm="1">
        <f t="array" ref="I51">[50]!NETCHANGERATE</f>
        <v>+0.88%</v>
      </c>
      <c r="J51" cm="1">
        <f t="array" ref="J51">[50]!BIDVOLUME1</f>
        <v>29</v>
      </c>
      <c r="K51" cm="1">
        <f t="array" ref="K51">[50]!BIDPRICE1</f>
        <v>9381</v>
      </c>
      <c r="L51" cm="1">
        <f t="array" ref="L51">[50]!ASKPRICE1</f>
        <v>9382</v>
      </c>
      <c r="M51" cm="1">
        <f t="array" ref="M51">[50]!ASKVOLUME1</f>
        <v>44</v>
      </c>
      <c r="N51" cm="1">
        <f t="array" ref="N51">[50]!OPENPRICE</f>
        <v>9359</v>
      </c>
      <c r="O51" cm="1">
        <f t="array" ref="O51">[50]!HIGH</f>
        <v>9513</v>
      </c>
      <c r="P51" cm="1">
        <f t="array" ref="P51">[50]!LOW</f>
        <v>9314</v>
      </c>
      <c r="Q51" cm="1">
        <f t="array" ref="Q51">[50]!TRADEVOLUME</f>
        <v>377215</v>
      </c>
      <c r="R51" cm="1">
        <f t="array" ref="R51">[50]!POSIVOL</f>
        <v>351025</v>
      </c>
      <c r="S51" cm="1">
        <f t="array" ref="S51">[50]!POSIVOLCHANGE</f>
        <v>-11</v>
      </c>
      <c r="T51" cm="1">
        <f t="array" ref="T51">[50]!POSIVOLCHANGEDAILY</f>
        <v>4333</v>
      </c>
      <c r="U51" t="str" cm="1">
        <f t="array" ref="U51">[50]!INST_STATE</f>
        <v>连续交易</v>
      </c>
      <c r="V51" t="str" cm="1">
        <f t="array" ref="V51">[50]!UPDATETIME</f>
        <v>22:52:40.500</v>
      </c>
      <c r="W51" cm="1">
        <f t="array" ref="W51">[50]!UPPERLIMITPRICE</f>
        <v>10323</v>
      </c>
      <c r="X51" cm="1">
        <f t="array" ref="X51">[50]!LOWERLIMITPRICE</f>
        <v>8277</v>
      </c>
      <c r="Y51" t="e" cm="1">
        <f t="array" ref="Y51">[50]!CLOSEPRICE</f>
        <v>#N/A</v>
      </c>
      <c r="Z51" t="e" cm="1">
        <f t="array" ref="Z51">[50]!SETTLEPRICE</f>
        <v>#N/A</v>
      </c>
      <c r="AA51" cm="1">
        <f t="array" ref="AA51">[50]!PRECLOSE</f>
        <v>9359</v>
      </c>
      <c r="AB51" cm="1">
        <f t="array" ref="AB51">[50]!PRESETTLEPRICE</f>
        <v>9300</v>
      </c>
      <c r="AC51" t="s">
        <v>112</v>
      </c>
      <c r="AD51" t="s">
        <v>145</v>
      </c>
      <c r="AE51">
        <v>5</v>
      </c>
      <c r="AF51">
        <v>20260728</v>
      </c>
      <c r="AG51" t="e" cm="1">
        <f t="array" ref="AG51">[50]!MARGIN</f>
        <v>#N/A</v>
      </c>
      <c r="AH51" t="e" cm="1">
        <f t="array" ref="AH51">[50]!FEE</f>
        <v>#N/A</v>
      </c>
      <c r="AJ51" cm="1">
        <f t="array" ref="AJ51">[50]!IMPLYBIDVOLUME1</f>
        <v>0</v>
      </c>
      <c r="AK51" t="e" cm="1">
        <f t="array" ref="AK51">[50]!IMPLYBIDPRICE1</f>
        <v>#N/A</v>
      </c>
      <c r="AL51" t="e" cm="1">
        <f t="array" ref="AL51">[50]!IMPLYASKPRICE1</f>
        <v>#N/A</v>
      </c>
      <c r="AM51" cm="1">
        <f t="array" ref="AM51">[50]!IMPLYASKVOLUME1</f>
        <v>0</v>
      </c>
      <c r="AN51" cm="1">
        <f t="array" ref="AN51">[50]!VOLUMEBIDLOT</f>
        <v>0</v>
      </c>
      <c r="AO51" cm="1">
        <f t="array" ref="AO51">[50]!VOLUMEASKLOT</f>
        <v>0</v>
      </c>
    </row>
    <row r="52" spans="1:41" x14ac:dyDescent="0.25">
      <c r="A52" t="s">
        <v>146</v>
      </c>
      <c r="B52" t="s">
        <v>146</v>
      </c>
      <c r="C52" cm="1">
        <f t="array" ref="C52">[51]!NETVOLUME2200107473</f>
        <v>0</v>
      </c>
      <c r="D52" cm="1">
        <f t="array" ref="D52">[51]!LONGPOSITION2200107473</f>
        <v>0</v>
      </c>
      <c r="E52" cm="1">
        <f t="array" ref="E52">[51]!SHORTPOSITION2200107473</f>
        <v>0</v>
      </c>
      <c r="F52" cm="1">
        <f t="array" ref="F52">[51]!MTMPL2200107473</f>
        <v>0</v>
      </c>
      <c r="G52" cm="1">
        <f t="array" ref="G52">[51]!LASTPRICE</f>
        <v>2747</v>
      </c>
      <c r="H52" cm="1">
        <f t="array" ref="H52">[51]!NETCHANGE</f>
        <v>128</v>
      </c>
      <c r="I52" t="str" cm="1">
        <f t="array" ref="I52">[51]!NETCHANGERATE</f>
        <v>+4.89%</v>
      </c>
      <c r="J52" cm="1">
        <f t="array" ref="J52">[51]!BIDVOLUME1</f>
        <v>9</v>
      </c>
      <c r="K52" cm="1">
        <f t="array" ref="K52">[51]!BIDPRICE1</f>
        <v>2746.5</v>
      </c>
      <c r="L52" cm="1">
        <f t="array" ref="L52">[51]!ASKPRICE1</f>
        <v>2747</v>
      </c>
      <c r="M52" cm="1">
        <f t="array" ref="M52">[51]!ASKVOLUME1</f>
        <v>3</v>
      </c>
      <c r="N52" cm="1">
        <f t="array" ref="N52">[51]!OPENPRICE</f>
        <v>2686</v>
      </c>
      <c r="O52" cm="1">
        <f t="array" ref="O52">[51]!HIGH</f>
        <v>2788</v>
      </c>
      <c r="P52" cm="1">
        <f t="array" ref="P52">[51]!LOW</f>
        <v>2662</v>
      </c>
      <c r="Q52" cm="1">
        <f t="array" ref="Q52">[51]!TRADEVOLUME</f>
        <v>16588</v>
      </c>
      <c r="R52" cm="1">
        <f t="array" ref="R52">[51]!POSIVOL</f>
        <v>21163</v>
      </c>
      <c r="S52" cm="1">
        <f t="array" ref="S52">[51]!POSIVOLCHANGE</f>
        <v>0</v>
      </c>
      <c r="T52" cm="1">
        <f t="array" ref="T52">[51]!POSIVOLCHANGEDAILY</f>
        <v>431</v>
      </c>
      <c r="U52" t="str" cm="1">
        <f t="array" ref="U52">[51]!INST_STATE</f>
        <v>连续交易</v>
      </c>
      <c r="V52" t="str" cm="1">
        <f t="array" ref="V52">[51]!UPDATETIME</f>
        <v>22:52:40.500</v>
      </c>
      <c r="W52" cm="1">
        <f t="array" ref="W52">[51]!UPPERLIMITPRICE</f>
        <v>3142.5</v>
      </c>
      <c r="X52" cm="1">
        <f t="array" ref="X52">[51]!LOWERLIMITPRICE</f>
        <v>2095</v>
      </c>
      <c r="Y52" t="e" cm="1">
        <f t="array" ref="Y52">[51]!CLOSEPRICE</f>
        <v>#N/A</v>
      </c>
      <c r="Z52" t="e" cm="1">
        <f t="array" ref="Z52">[51]!SETTLEPRICE</f>
        <v>#N/A</v>
      </c>
      <c r="AA52" cm="1">
        <f t="array" ref="AA52">[51]!PRECLOSE</f>
        <v>2637.5</v>
      </c>
      <c r="AB52" cm="1">
        <f t="array" ref="AB52">[51]!PRESETTLEPRICE</f>
        <v>2619</v>
      </c>
      <c r="AC52" t="s">
        <v>130</v>
      </c>
      <c r="AD52" t="s">
        <v>147</v>
      </c>
      <c r="AE52">
        <v>50</v>
      </c>
      <c r="AF52">
        <v>20260629</v>
      </c>
      <c r="AG52" t="e" cm="1">
        <f t="array" ref="AG52">[51]!MARGIN</f>
        <v>#N/A</v>
      </c>
      <c r="AH52" t="e" cm="1">
        <f t="array" ref="AH52">[51]!FEE</f>
        <v>#N/A</v>
      </c>
      <c r="AJ52" cm="1">
        <f t="array" ref="AJ52">[51]!IMPLYBIDVOLUME1</f>
        <v>0</v>
      </c>
      <c r="AK52" t="e" cm="1">
        <f t="array" ref="AK52">[51]!IMPLYBIDPRICE1</f>
        <v>#N/A</v>
      </c>
      <c r="AL52" t="e" cm="1">
        <f t="array" ref="AL52">[51]!IMPLYASKPRICE1</f>
        <v>#N/A</v>
      </c>
      <c r="AM52" cm="1">
        <f t="array" ref="AM52">[51]!IMPLYASKVOLUME1</f>
        <v>0</v>
      </c>
      <c r="AN52" cm="1">
        <f t="array" ref="AN52">[51]!VOLUMEBIDLOT</f>
        <v>0</v>
      </c>
      <c r="AO52" cm="1">
        <f t="array" ref="AO52">[51]!VOLUMEASKLOT</f>
        <v>0</v>
      </c>
    </row>
    <row r="53" spans="1:41" x14ac:dyDescent="0.25">
      <c r="A53" t="s">
        <v>148</v>
      </c>
      <c r="B53" t="s">
        <v>148</v>
      </c>
      <c r="C53" cm="1">
        <f t="array" ref="C53">[52]!NETVOLUME2200107473</f>
        <v>0</v>
      </c>
      <c r="D53" cm="1">
        <f t="array" ref="D53">[52]!LONGPOSITION2200107473</f>
        <v>0</v>
      </c>
      <c r="E53" cm="1">
        <f t="array" ref="E53">[52]!SHORTPOSITION2200107473</f>
        <v>0</v>
      </c>
      <c r="F53" cm="1">
        <f t="array" ref="F53">[52]!MTMPL2200107473</f>
        <v>0</v>
      </c>
      <c r="G53" cm="1">
        <f t="array" ref="G53">[52]!LASTPRICE</f>
        <v>4744</v>
      </c>
      <c r="H53" cm="1">
        <f t="array" ref="H53">[52]!NETCHANGE</f>
        <v>20</v>
      </c>
      <c r="I53" t="str" cm="1">
        <f t="array" ref="I53">[52]!NETCHANGERATE</f>
        <v>+0.42%</v>
      </c>
      <c r="J53" cm="1">
        <f t="array" ref="J53">[52]!BIDVOLUME1</f>
        <v>61</v>
      </c>
      <c r="K53" cm="1">
        <f t="array" ref="K53">[52]!BIDPRICE1</f>
        <v>4744</v>
      </c>
      <c r="L53" cm="1">
        <f t="array" ref="L53">[52]!ASKPRICE1</f>
        <v>4745</v>
      </c>
      <c r="M53" cm="1">
        <f t="array" ref="M53">[52]!ASKVOLUME1</f>
        <v>37</v>
      </c>
      <c r="N53" cm="1">
        <f t="array" ref="N53">[52]!OPENPRICE</f>
        <v>4772</v>
      </c>
      <c r="O53" cm="1">
        <f t="array" ref="O53">[52]!HIGH</f>
        <v>4794</v>
      </c>
      <c r="P53" cm="1">
        <f t="array" ref="P53">[52]!LOW</f>
        <v>4705</v>
      </c>
      <c r="Q53" cm="1">
        <f t="array" ref="Q53">[52]!TRADEVOLUME</f>
        <v>276772</v>
      </c>
      <c r="R53" cm="1">
        <f t="array" ref="R53">[52]!POSIVOL</f>
        <v>307417</v>
      </c>
      <c r="S53" cm="1">
        <f t="array" ref="S53">[52]!POSIVOLCHANGE</f>
        <v>1</v>
      </c>
      <c r="T53" cm="1">
        <f t="array" ref="T53">[52]!POSIVOLCHANGEDAILY</f>
        <v>2026</v>
      </c>
      <c r="U53" t="str" cm="1">
        <f t="array" ref="U53">[52]!INST_STATE</f>
        <v>连续交易</v>
      </c>
      <c r="V53" t="str" cm="1">
        <f t="array" ref="V53">[52]!UPDATETIME</f>
        <v>22:52:40.500</v>
      </c>
      <c r="W53" cm="1">
        <f t="array" ref="W53">[52]!UPPERLIMITPRICE</f>
        <v>5243</v>
      </c>
      <c r="X53" cm="1">
        <f t="array" ref="X53">[52]!LOWERLIMITPRICE</f>
        <v>4205</v>
      </c>
      <c r="Y53" t="e" cm="1">
        <f t="array" ref="Y53">[52]!CLOSEPRICE</f>
        <v>#N/A</v>
      </c>
      <c r="Z53" t="e" cm="1">
        <f t="array" ref="Z53">[52]!SETTLEPRICE</f>
        <v>#N/A</v>
      </c>
      <c r="AA53" cm="1">
        <f t="array" ref="AA53">[52]!PRECLOSE</f>
        <v>4762</v>
      </c>
      <c r="AB53" cm="1">
        <f t="array" ref="AB53">[52]!PRESETTLEPRICE</f>
        <v>4724</v>
      </c>
      <c r="AC53" t="s">
        <v>112</v>
      </c>
      <c r="AD53" t="s">
        <v>149</v>
      </c>
      <c r="AE53">
        <v>10</v>
      </c>
      <c r="AF53">
        <v>20260924</v>
      </c>
      <c r="AG53" t="e" cm="1">
        <f t="array" ref="AG53">[52]!MARGIN</f>
        <v>#N/A</v>
      </c>
      <c r="AH53" t="e" cm="1">
        <f t="array" ref="AH53">[52]!FEE</f>
        <v>#N/A</v>
      </c>
      <c r="AJ53" cm="1">
        <f t="array" ref="AJ53">[52]!IMPLYBIDVOLUME1</f>
        <v>0</v>
      </c>
      <c r="AK53" t="e" cm="1">
        <f t="array" ref="AK53">[52]!IMPLYBIDPRICE1</f>
        <v>#N/A</v>
      </c>
      <c r="AL53" t="e" cm="1">
        <f t="array" ref="AL53">[52]!IMPLYASKPRICE1</f>
        <v>#N/A</v>
      </c>
      <c r="AM53" cm="1">
        <f t="array" ref="AM53">[52]!IMPLYASKVOLUME1</f>
        <v>0</v>
      </c>
      <c r="AN53" cm="1">
        <f t="array" ref="AN53">[52]!VOLUMEBIDLOT</f>
        <v>0</v>
      </c>
      <c r="AO53" cm="1">
        <f t="array" ref="AO53">[52]!VOLUMEASKLOT</f>
        <v>0</v>
      </c>
    </row>
    <row r="54" spans="1:41" x14ac:dyDescent="0.25">
      <c r="A54" t="s">
        <v>150</v>
      </c>
      <c r="B54" t="s">
        <v>150</v>
      </c>
      <c r="C54" cm="1">
        <f t="array" ref="C54">[53]!NETVOLUME2200107473</f>
        <v>0</v>
      </c>
      <c r="D54" cm="1">
        <f t="array" ref="D54">[53]!LONGPOSITION2200107473</f>
        <v>0</v>
      </c>
      <c r="E54" cm="1">
        <f t="array" ref="E54">[53]!SHORTPOSITION2200107473</f>
        <v>0</v>
      </c>
      <c r="F54" cm="1">
        <f t="array" ref="F54">[53]!MTMPL2200107473</f>
        <v>0</v>
      </c>
      <c r="G54" cm="1">
        <f t="array" ref="G54">[53]!LASTPRICE</f>
        <v>1260.5</v>
      </c>
      <c r="H54" cm="1">
        <f t="array" ref="H54">[53]!NETCHANGE</f>
        <v>4</v>
      </c>
      <c r="I54" t="str" cm="1">
        <f t="array" ref="I54">[53]!NETCHANGERATE</f>
        <v>+0.32%</v>
      </c>
      <c r="J54" cm="1">
        <f t="array" ref="J54">[53]!BIDVOLUME1</f>
        <v>14</v>
      </c>
      <c r="K54" cm="1">
        <f t="array" ref="K54">[53]!BIDPRICE1</f>
        <v>1260.5</v>
      </c>
      <c r="L54" cm="1">
        <f t="array" ref="L54">[53]!ASKPRICE1</f>
        <v>1261.5</v>
      </c>
      <c r="M54" cm="1">
        <f t="array" ref="M54">[53]!ASKVOLUME1</f>
        <v>2</v>
      </c>
      <c r="N54" cm="1">
        <f t="array" ref="N54">[53]!OPENPRICE</f>
        <v>1250</v>
      </c>
      <c r="O54" cm="1">
        <f t="array" ref="O54">[53]!HIGH</f>
        <v>1268.5</v>
      </c>
      <c r="P54" cm="1">
        <f t="array" ref="P54">[53]!LOW</f>
        <v>1250</v>
      </c>
      <c r="Q54" cm="1">
        <f t="array" ref="Q54">[53]!TRADEVOLUME</f>
        <v>1537</v>
      </c>
      <c r="R54" cm="1">
        <f t="array" ref="R54">[53]!POSIVOL</f>
        <v>4981</v>
      </c>
      <c r="S54" cm="1">
        <f t="array" ref="S54">[53]!POSIVOLCHANGE</f>
        <v>0</v>
      </c>
      <c r="T54" cm="1">
        <f t="array" ref="T54">[53]!POSIVOLCHANGEDAILY</f>
        <v>-137</v>
      </c>
      <c r="U54" t="str" cm="1">
        <f t="array" ref="U54">[53]!INST_STATE</f>
        <v>连续交易</v>
      </c>
      <c r="V54" t="str" cm="1">
        <f t="array" ref="V54">[53]!UPDATETIME</f>
        <v>22:52:22.000</v>
      </c>
      <c r="W54" cm="1">
        <f t="array" ref="W54">[53]!UPPERLIMITPRICE</f>
        <v>1319</v>
      </c>
      <c r="X54" cm="1">
        <f t="array" ref="X54">[53]!LOWERLIMITPRICE</f>
        <v>1194</v>
      </c>
      <c r="Y54" t="e" cm="1">
        <f t="array" ref="Y54">[53]!CLOSEPRICE</f>
        <v>#N/A</v>
      </c>
      <c r="Z54" t="e" cm="1">
        <f t="array" ref="Z54">[53]!SETTLEPRICE</f>
        <v>#N/A</v>
      </c>
      <c r="AA54" cm="1">
        <f t="array" ref="AA54">[53]!PRECLOSE</f>
        <v>1251</v>
      </c>
      <c r="AB54" cm="1">
        <f t="array" ref="AB54">[53]!PRESETTLEPRICE</f>
        <v>1256.5</v>
      </c>
      <c r="AC54" t="s">
        <v>112</v>
      </c>
      <c r="AD54" t="s">
        <v>151</v>
      </c>
      <c r="AE54">
        <v>10</v>
      </c>
      <c r="AF54">
        <v>20260714</v>
      </c>
      <c r="AG54" t="e" cm="1">
        <f t="array" ref="AG54">[53]!MARGIN</f>
        <v>#N/A</v>
      </c>
      <c r="AH54" t="e" cm="1">
        <f t="array" ref="AH54">[53]!FEE</f>
        <v>#N/A</v>
      </c>
      <c r="AJ54" cm="1">
        <f t="array" ref="AJ54">[53]!IMPLYBIDVOLUME1</f>
        <v>0</v>
      </c>
      <c r="AK54" t="e" cm="1">
        <f t="array" ref="AK54">[53]!IMPLYBIDPRICE1</f>
        <v>#N/A</v>
      </c>
      <c r="AL54" t="e" cm="1">
        <f t="array" ref="AL54">[53]!IMPLYASKPRICE1</f>
        <v>#N/A</v>
      </c>
      <c r="AM54" cm="1">
        <f t="array" ref="AM54">[53]!IMPLYASKVOLUME1</f>
        <v>0</v>
      </c>
      <c r="AN54" cm="1">
        <f t="array" ref="AN54">[53]!VOLUMEBIDLOT</f>
        <v>0</v>
      </c>
      <c r="AO54" cm="1">
        <f t="array" ref="AO54">[53]!VOLUMEASKLOT</f>
        <v>0</v>
      </c>
    </row>
    <row r="55" spans="1:41" x14ac:dyDescent="0.25">
      <c r="A55" t="s">
        <v>152</v>
      </c>
      <c r="B55" t="s">
        <v>152</v>
      </c>
      <c r="C55" cm="1">
        <f t="array" ref="C55">[54]!NETVOLUME2200107473</f>
        <v>0</v>
      </c>
      <c r="D55" cm="1">
        <f t="array" ref="D55">[54]!LONGPOSITION2200107473</f>
        <v>0</v>
      </c>
      <c r="E55" cm="1">
        <f t="array" ref="E55">[54]!SHORTPOSITION2200107473</f>
        <v>0</v>
      </c>
      <c r="F55" cm="1">
        <f t="array" ref="F55">[54]!MTMPL2200107473</f>
        <v>0</v>
      </c>
      <c r="G55" cm="1">
        <f t="array" ref="G55">[54]!LASTPRICE</f>
        <v>4173</v>
      </c>
      <c r="H55" cm="1">
        <f t="array" ref="H55">[54]!NETCHANGE</f>
        <v>13</v>
      </c>
      <c r="I55" t="str" cm="1">
        <f t="array" ref="I55">[54]!NETCHANGERATE</f>
        <v>+0.31%</v>
      </c>
      <c r="J55" cm="1">
        <f t="array" ref="J55">[54]!BIDVOLUME1</f>
        <v>21</v>
      </c>
      <c r="K55" cm="1">
        <f t="array" ref="K55">[54]!BIDPRICE1</f>
        <v>4171</v>
      </c>
      <c r="L55" cm="1">
        <f t="array" ref="L55">[54]!ASKPRICE1</f>
        <v>4173</v>
      </c>
      <c r="M55" cm="1">
        <f t="array" ref="M55">[54]!ASKVOLUME1</f>
        <v>8</v>
      </c>
      <c r="N55" cm="1">
        <f t="array" ref="N55">[54]!OPENPRICE</f>
        <v>4260</v>
      </c>
      <c r="O55" cm="1">
        <f t="array" ref="O55">[54]!HIGH</f>
        <v>4305</v>
      </c>
      <c r="P55" cm="1">
        <f t="array" ref="P55">[54]!LOW</f>
        <v>4171</v>
      </c>
      <c r="Q55" cm="1">
        <f t="array" ref="Q55">[54]!TRADEVOLUME</f>
        <v>254400</v>
      </c>
      <c r="R55" cm="1">
        <f t="array" ref="R55">[54]!POSIVOL</f>
        <v>243440</v>
      </c>
      <c r="S55" t="e" cm="1">
        <f t="array" ref="S55">[54]!POSIVOLCHANGE</f>
        <v>#N/A</v>
      </c>
      <c r="T55" cm="1">
        <f t="array" ref="T55">[54]!POSIVOLCHANGEDAILY</f>
        <v>15793</v>
      </c>
      <c r="U55" t="str" cm="1">
        <f t="array" ref="U55">[54]!INST_STATE</f>
        <v>连续交易</v>
      </c>
      <c r="V55" t="str" cm="1">
        <f t="array" ref="V55">[54]!UPDATETIME</f>
        <v>22:00:47.000</v>
      </c>
      <c r="W55" cm="1">
        <f t="array" ref="W55">[54]!UPPERLIMITPRICE</f>
        <v>4992</v>
      </c>
      <c r="X55" cm="1">
        <f t="array" ref="X55">[54]!LOWERLIMITPRICE</f>
        <v>3328</v>
      </c>
      <c r="Y55" t="e" cm="1">
        <f t="array" ref="Y55">[54]!CLOSEPRICE</f>
        <v>#N/A</v>
      </c>
      <c r="Z55" t="e" cm="1">
        <f t="array" ref="Z55">[54]!SETTLEPRICE</f>
        <v>#N/A</v>
      </c>
      <c r="AA55" cm="1">
        <f t="array" ref="AA55">[54]!PRECLOSE</f>
        <v>4205</v>
      </c>
      <c r="AB55" cm="1">
        <f t="array" ref="AB55">[54]!PRESETTLEPRICE</f>
        <v>4160</v>
      </c>
      <c r="AC55" t="s">
        <v>115</v>
      </c>
      <c r="AD55" t="s">
        <v>153</v>
      </c>
      <c r="AE55">
        <v>10</v>
      </c>
      <c r="AF55">
        <v>20260831</v>
      </c>
      <c r="AG55" t="e" cm="1">
        <f t="array" ref="AG55">[54]!MARGIN</f>
        <v>#N/A</v>
      </c>
      <c r="AH55" t="e" cm="1">
        <f t="array" ref="AH55">[54]!FEE</f>
        <v>#N/A</v>
      </c>
      <c r="AJ55" cm="1">
        <f t="array" ref="AJ55">[54]!IMPLYBIDVOLUME1</f>
        <v>0</v>
      </c>
      <c r="AK55" t="e" cm="1">
        <f t="array" ref="AK55">[54]!IMPLYBIDPRICE1</f>
        <v>#N/A</v>
      </c>
      <c r="AL55" t="e" cm="1">
        <f t="array" ref="AL55">[54]!IMPLYASKPRICE1</f>
        <v>#N/A</v>
      </c>
      <c r="AM55" cm="1">
        <f t="array" ref="AM55">[54]!IMPLYASKVOLUME1</f>
        <v>0</v>
      </c>
      <c r="AN55" cm="1">
        <f t="array" ref="AN55">[54]!VOLUMEBIDLOT</f>
        <v>0</v>
      </c>
      <c r="AO55" cm="1">
        <f t="array" ref="AO55">[54]!VOLUMEASKLOT</f>
        <v>0</v>
      </c>
    </row>
    <row r="56" spans="1:41" x14ac:dyDescent="0.25">
      <c r="A56" t="s">
        <v>154</v>
      </c>
      <c r="B56" t="s">
        <v>154</v>
      </c>
      <c r="C56" cm="1">
        <f t="array" ref="C56">[55]!NETVOLUME2200107473</f>
        <v>0</v>
      </c>
      <c r="D56" cm="1">
        <f t="array" ref="D56">[55]!LONGPOSITION2200107473</f>
        <v>0</v>
      </c>
      <c r="E56" cm="1">
        <f t="array" ref="E56">[55]!SHORTPOSITION2200107473</f>
        <v>0</v>
      </c>
      <c r="F56" cm="1">
        <f t="array" ref="F56">[55]!MTMPL2200107473</f>
        <v>0</v>
      </c>
      <c r="G56" cm="1">
        <f t="array" ref="G56">[55]!LASTPRICE</f>
        <v>3418</v>
      </c>
      <c r="H56" cm="1">
        <f t="array" ref="H56">[55]!NETCHANGE</f>
        <v>-1</v>
      </c>
      <c r="I56" t="str" cm="1">
        <f t="array" ref="I56">[55]!NETCHANGERATE</f>
        <v>-0.03%</v>
      </c>
      <c r="J56" cm="1">
        <f t="array" ref="J56">[55]!BIDVOLUME1</f>
        <v>278</v>
      </c>
      <c r="K56" cm="1">
        <f t="array" ref="K56">[55]!BIDPRICE1</f>
        <v>3417</v>
      </c>
      <c r="L56" cm="1">
        <f t="array" ref="L56">[55]!ASKPRICE1</f>
        <v>3419</v>
      </c>
      <c r="M56" cm="1">
        <f t="array" ref="M56">[55]!ASKVOLUME1</f>
        <v>938</v>
      </c>
      <c r="N56" cm="1">
        <f t="array" ref="N56">[55]!OPENPRICE</f>
        <v>3431</v>
      </c>
      <c r="O56" cm="1">
        <f t="array" ref="O56">[55]!HIGH</f>
        <v>3432</v>
      </c>
      <c r="P56" cm="1">
        <f t="array" ref="P56">[55]!LOW</f>
        <v>3401</v>
      </c>
      <c r="Q56" cm="1">
        <f t="array" ref="Q56">[55]!TRADEVOLUME</f>
        <v>401595</v>
      </c>
      <c r="R56" cm="1">
        <f t="array" ref="R56">[55]!POSIVOL</f>
        <v>1891371</v>
      </c>
      <c r="S56" t="e" cm="1">
        <f t="array" ref="S56">[55]!POSIVOLCHANGE</f>
        <v>#N/A</v>
      </c>
      <c r="T56" cm="1">
        <f t="array" ref="T56">[55]!POSIVOLCHANGEDAILY</f>
        <v>-49632</v>
      </c>
      <c r="U56" t="str" cm="1">
        <f t="array" ref="U56">[55]!INST_STATE</f>
        <v>连续交易</v>
      </c>
      <c r="V56" t="str" cm="1">
        <f t="array" ref="V56">[55]!UPDATETIME</f>
        <v>22:00:47.000</v>
      </c>
      <c r="W56" cm="1">
        <f t="array" ref="W56">[55]!UPPERLIMITPRICE</f>
        <v>3589</v>
      </c>
      <c r="X56" cm="1">
        <f t="array" ref="X56">[55]!LOWERLIMITPRICE</f>
        <v>3248</v>
      </c>
      <c r="Y56" t="e" cm="1">
        <f t="array" ref="Y56">[55]!CLOSEPRICE</f>
        <v>#N/A</v>
      </c>
      <c r="Z56" t="e" cm="1">
        <f t="array" ref="Z56">[55]!SETTLEPRICE</f>
        <v>#N/A</v>
      </c>
      <c r="AA56" cm="1">
        <f t="array" ref="AA56">[55]!PRECLOSE</f>
        <v>3428</v>
      </c>
      <c r="AB56" cm="1">
        <f t="array" ref="AB56">[55]!PRESETTLEPRICE</f>
        <v>3419</v>
      </c>
      <c r="AC56" t="s">
        <v>115</v>
      </c>
      <c r="AD56" t="s">
        <v>155</v>
      </c>
      <c r="AE56">
        <v>10</v>
      </c>
      <c r="AF56">
        <v>20261015</v>
      </c>
      <c r="AG56" t="e" cm="1">
        <f t="array" ref="AG56">[55]!MARGIN</f>
        <v>#N/A</v>
      </c>
      <c r="AH56" t="e" cm="1">
        <f t="array" ref="AH56">[55]!FEE</f>
        <v>#N/A</v>
      </c>
      <c r="AJ56" cm="1">
        <f t="array" ref="AJ56">[55]!IMPLYBIDVOLUME1</f>
        <v>0</v>
      </c>
      <c r="AK56" t="e" cm="1">
        <f t="array" ref="AK56">[55]!IMPLYBIDPRICE1</f>
        <v>#N/A</v>
      </c>
      <c r="AL56" t="e" cm="1">
        <f t="array" ref="AL56">[55]!IMPLYASKPRICE1</f>
        <v>#N/A</v>
      </c>
      <c r="AM56" cm="1">
        <f t="array" ref="AM56">[55]!IMPLYASKVOLUME1</f>
        <v>0</v>
      </c>
      <c r="AN56" cm="1">
        <f t="array" ref="AN56">[55]!VOLUMEBIDLOT</f>
        <v>0</v>
      </c>
      <c r="AO56" cm="1">
        <f t="array" ref="AO56">[55]!VOLUMEASKLOT</f>
        <v>0</v>
      </c>
    </row>
    <row r="57" spans="1:41" x14ac:dyDescent="0.25">
      <c r="A57" t="s">
        <v>156</v>
      </c>
      <c r="B57" t="s">
        <v>156</v>
      </c>
      <c r="C57" cm="1">
        <f t="array" ref="C57">[56]!NETVOLUME2200107473</f>
        <v>0</v>
      </c>
      <c r="D57" cm="1">
        <f t="array" ref="D57">[56]!LONGPOSITION2200107473</f>
        <v>0</v>
      </c>
      <c r="E57" cm="1">
        <f t="array" ref="E57">[56]!SHORTPOSITION2200107473</f>
        <v>0</v>
      </c>
      <c r="F57" cm="1">
        <f t="array" ref="F57">[56]!MTMPL2200107473</f>
        <v>0</v>
      </c>
      <c r="G57" cm="1">
        <f t="array" ref="G57">[56]!LASTPRICE</f>
        <v>797.5</v>
      </c>
      <c r="H57" cm="1">
        <f t="array" ref="H57">[56]!NETCHANGE</f>
        <v>-1</v>
      </c>
      <c r="I57" t="str" cm="1">
        <f t="array" ref="I57">[56]!NETCHANGERATE</f>
        <v>-0.13%</v>
      </c>
      <c r="J57" cm="1">
        <f t="array" ref="J57">[56]!BIDVOLUME1</f>
        <v>464</v>
      </c>
      <c r="K57" cm="1">
        <f t="array" ref="K57">[56]!BIDPRICE1</f>
        <v>797.5</v>
      </c>
      <c r="L57" cm="1">
        <f t="array" ref="L57">[56]!ASKPRICE1</f>
        <v>798</v>
      </c>
      <c r="M57" cm="1">
        <f t="array" ref="M57">[56]!ASKVOLUME1</f>
        <v>844</v>
      </c>
      <c r="N57" cm="1">
        <f t="array" ref="N57">[56]!OPENPRICE</f>
        <v>800</v>
      </c>
      <c r="O57" cm="1">
        <f t="array" ref="O57">[56]!HIGH</f>
        <v>801.5</v>
      </c>
      <c r="P57" cm="1">
        <f t="array" ref="P57">[56]!LOW</f>
        <v>793</v>
      </c>
      <c r="Q57" cm="1">
        <f t="array" ref="Q57">[56]!TRADEVOLUME</f>
        <v>150106</v>
      </c>
      <c r="R57" cm="1">
        <f t="array" ref="R57">[56]!POSIVOL</f>
        <v>652965</v>
      </c>
      <c r="S57" cm="1">
        <f t="array" ref="S57">[56]!POSIVOLCHANGE</f>
        <v>0</v>
      </c>
      <c r="T57" cm="1">
        <f t="array" ref="T57">[56]!POSIVOLCHANGEDAILY</f>
        <v>-6460</v>
      </c>
      <c r="U57" t="str" cm="1">
        <f t="array" ref="U57">[56]!INST_STATE</f>
        <v>连续交易</v>
      </c>
      <c r="V57" t="str" cm="1">
        <f t="array" ref="V57">[56]!UPDATETIME</f>
        <v>22:52:40.500</v>
      </c>
      <c r="W57" cm="1">
        <f t="array" ref="W57">[56]!UPPERLIMITPRICE</f>
        <v>870</v>
      </c>
      <c r="X57" cm="1">
        <f t="array" ref="X57">[56]!LOWERLIMITPRICE</f>
        <v>727</v>
      </c>
      <c r="Y57" t="e" cm="1">
        <f t="array" ref="Y57">[56]!CLOSEPRICE</f>
        <v>#N/A</v>
      </c>
      <c r="Z57" t="e" cm="1">
        <f t="array" ref="Z57">[56]!SETTLEPRICE</f>
        <v>#N/A</v>
      </c>
      <c r="AA57" cm="1">
        <f t="array" ref="AA57">[56]!PRECLOSE</f>
        <v>798.5</v>
      </c>
      <c r="AB57" cm="1">
        <f t="array" ref="AB57">[56]!PRESETTLEPRICE</f>
        <v>798.5</v>
      </c>
      <c r="AC57" t="s">
        <v>112</v>
      </c>
      <c r="AD57" t="s">
        <v>157</v>
      </c>
      <c r="AE57">
        <v>100</v>
      </c>
      <c r="AF57">
        <v>20260914</v>
      </c>
      <c r="AG57" t="e" cm="1">
        <f t="array" ref="AG57">[56]!MARGIN</f>
        <v>#N/A</v>
      </c>
      <c r="AH57" t="e" cm="1">
        <f t="array" ref="AH57">[56]!FEE</f>
        <v>#N/A</v>
      </c>
      <c r="AJ57" cm="1">
        <f t="array" ref="AJ57">[56]!IMPLYBIDVOLUME1</f>
        <v>0</v>
      </c>
      <c r="AK57" t="e" cm="1">
        <f t="array" ref="AK57">[56]!IMPLYBIDPRICE1</f>
        <v>#N/A</v>
      </c>
      <c r="AL57" t="e" cm="1">
        <f t="array" ref="AL57">[56]!IMPLYASKPRICE1</f>
        <v>#N/A</v>
      </c>
      <c r="AM57" cm="1">
        <f t="array" ref="AM57">[56]!IMPLYASKVOLUME1</f>
        <v>0</v>
      </c>
      <c r="AN57" cm="1">
        <f t="array" ref="AN57">[56]!VOLUMEBIDLOT</f>
        <v>0</v>
      </c>
      <c r="AO57" cm="1">
        <f t="array" ref="AO57">[56]!VOLUMEASKLOT</f>
        <v>0</v>
      </c>
    </row>
    <row r="58" spans="1:41" x14ac:dyDescent="0.25">
      <c r="A58" t="s">
        <v>158</v>
      </c>
      <c r="B58" t="s">
        <v>158</v>
      </c>
      <c r="C58" cm="1">
        <f t="array" ref="C58">[57]!NETVOLUME2200107473</f>
        <v>0</v>
      </c>
      <c r="D58" cm="1">
        <f t="array" ref="D58">[57]!LONGPOSITION2200107473</f>
        <v>0</v>
      </c>
      <c r="E58" cm="1">
        <f t="array" ref="E58">[57]!SHORTPOSITION2200107473</f>
        <v>0</v>
      </c>
      <c r="F58" cm="1">
        <f t="array" ref="F58">[57]!MTMPL2200107473</f>
        <v>0</v>
      </c>
      <c r="G58" cm="1">
        <f t="array" ref="G58">[57]!LASTPRICE</f>
        <v>1780</v>
      </c>
      <c r="H58" cm="1">
        <f t="array" ref="H58">[57]!NETCHANGE</f>
        <v>3</v>
      </c>
      <c r="I58" t="str" cm="1">
        <f t="array" ref="I58">[57]!NETCHANGERATE</f>
        <v>+0.17%</v>
      </c>
      <c r="J58" cm="1">
        <f t="array" ref="J58">[57]!BIDVOLUME1</f>
        <v>5</v>
      </c>
      <c r="K58" cm="1">
        <f t="array" ref="K58">[57]!BIDPRICE1</f>
        <v>1779.5</v>
      </c>
      <c r="L58" cm="1">
        <f t="array" ref="L58">[57]!ASKPRICE1</f>
        <v>1780</v>
      </c>
      <c r="M58" cm="1">
        <f t="array" ref="M58">[57]!ASKVOLUME1</f>
        <v>2</v>
      </c>
      <c r="N58" cm="1">
        <f t="array" ref="N58">[57]!OPENPRICE</f>
        <v>1777</v>
      </c>
      <c r="O58" cm="1">
        <f t="array" ref="O58">[57]!HIGH</f>
        <v>1787</v>
      </c>
      <c r="P58" cm="1">
        <f t="array" ref="P58">[57]!LOW</f>
        <v>1758</v>
      </c>
      <c r="Q58" cm="1">
        <f t="array" ref="Q58">[57]!TRADEVOLUME</f>
        <v>11420</v>
      </c>
      <c r="R58" cm="1">
        <f t="array" ref="R58">[57]!POSIVOL</f>
        <v>32540</v>
      </c>
      <c r="S58" cm="1">
        <f t="array" ref="S58">[57]!POSIVOLCHANGE</f>
        <v>0</v>
      </c>
      <c r="T58" cm="1">
        <f t="array" ref="T58">[57]!POSIVOLCHANGEDAILY</f>
        <v>532</v>
      </c>
      <c r="U58" t="str" cm="1">
        <f t="array" ref="U58">[57]!INST_STATE</f>
        <v>连续交易</v>
      </c>
      <c r="V58" t="str" cm="1">
        <f t="array" ref="V58">[57]!UPDATETIME</f>
        <v>22:52:40.500</v>
      </c>
      <c r="W58" cm="1">
        <f t="array" ref="W58">[57]!UPPERLIMITPRICE</f>
        <v>1919</v>
      </c>
      <c r="X58" cm="1">
        <f t="array" ref="X58">[57]!LOWERLIMITPRICE</f>
        <v>1635</v>
      </c>
      <c r="Y58" t="e" cm="1">
        <f t="array" ref="Y58">[57]!CLOSEPRICE</f>
        <v>#N/A</v>
      </c>
      <c r="Z58" t="e" cm="1">
        <f t="array" ref="Z58">[57]!SETTLEPRICE</f>
        <v>#N/A</v>
      </c>
      <c r="AA58" cm="1">
        <f t="array" ref="AA58">[57]!PRECLOSE</f>
        <v>1782</v>
      </c>
      <c r="AB58" cm="1">
        <f t="array" ref="AB58">[57]!PRESETTLEPRICE</f>
        <v>1777</v>
      </c>
      <c r="AC58" t="s">
        <v>112</v>
      </c>
      <c r="AD58" t="s">
        <v>159</v>
      </c>
      <c r="AE58">
        <v>100</v>
      </c>
      <c r="AF58">
        <v>20260914</v>
      </c>
      <c r="AG58" t="e" cm="1">
        <f t="array" ref="AG58">[57]!MARGIN</f>
        <v>#N/A</v>
      </c>
      <c r="AH58" t="e" cm="1">
        <f t="array" ref="AH58">[57]!FEE</f>
        <v>#N/A</v>
      </c>
      <c r="AJ58" cm="1">
        <f t="array" ref="AJ58">[57]!IMPLYBIDVOLUME1</f>
        <v>0</v>
      </c>
      <c r="AK58" t="e" cm="1">
        <f t="array" ref="AK58">[57]!IMPLYBIDPRICE1</f>
        <v>#N/A</v>
      </c>
      <c r="AL58" t="e" cm="1">
        <f t="array" ref="AL58">[57]!IMPLYASKPRICE1</f>
        <v>#N/A</v>
      </c>
      <c r="AM58" cm="1">
        <f t="array" ref="AM58">[57]!IMPLYASKVOLUME1</f>
        <v>0</v>
      </c>
      <c r="AN58" cm="1">
        <f t="array" ref="AN58">[57]!VOLUMEBIDLOT</f>
        <v>0</v>
      </c>
      <c r="AO58" cm="1">
        <f t="array" ref="AO58">[57]!VOLUMEASKLOT</f>
        <v>0</v>
      </c>
    </row>
    <row r="59" spans="1:41" x14ac:dyDescent="0.25">
      <c r="A59" t="s">
        <v>160</v>
      </c>
      <c r="B59" t="s">
        <v>160</v>
      </c>
      <c r="C59" cm="1">
        <f t="array" ref="C59">[58]!NETVOLUME2200107473</f>
        <v>0</v>
      </c>
      <c r="D59" cm="1">
        <f t="array" ref="D59">[58]!LONGPOSITION2200107473</f>
        <v>0</v>
      </c>
      <c r="E59" cm="1">
        <f t="array" ref="E59">[58]!SHORTPOSITION2200107473</f>
        <v>0</v>
      </c>
      <c r="F59" cm="1">
        <f t="array" ref="F59">[58]!MTMPL2200107473</f>
        <v>0</v>
      </c>
      <c r="G59" cm="1">
        <f t="array" ref="G59">[58]!LASTPRICE</f>
        <v>3923</v>
      </c>
      <c r="H59" cm="1">
        <f t="array" ref="H59">[58]!NETCHANGE</f>
        <v>114</v>
      </c>
      <c r="I59" t="str" cm="1">
        <f t="array" ref="I59">[58]!NETCHANGERATE</f>
        <v>+2.99%</v>
      </c>
      <c r="J59" cm="1">
        <f t="array" ref="J59">[58]!BIDVOLUME1</f>
        <v>95</v>
      </c>
      <c r="K59" cm="1">
        <f t="array" ref="K59">[58]!BIDPRICE1</f>
        <v>3923</v>
      </c>
      <c r="L59" cm="1">
        <f t="array" ref="L59">[58]!ASKPRICE1</f>
        <v>3924</v>
      </c>
      <c r="M59" cm="1">
        <f t="array" ref="M59">[58]!ASKVOLUME1</f>
        <v>201</v>
      </c>
      <c r="N59" cm="1">
        <f t="array" ref="N59">[58]!OPENPRICE</f>
        <v>3807</v>
      </c>
      <c r="O59" cm="1">
        <f t="array" ref="O59">[58]!HIGH</f>
        <v>3940</v>
      </c>
      <c r="P59" cm="1">
        <f t="array" ref="P59">[58]!LOW</f>
        <v>3802</v>
      </c>
      <c r="Q59" cm="1">
        <f t="array" ref="Q59">[58]!TRADEVOLUME</f>
        <v>708852</v>
      </c>
      <c r="R59" cm="1">
        <f t="array" ref="R59">[58]!POSIVOL</f>
        <v>314363</v>
      </c>
      <c r="S59" cm="1">
        <f t="array" ref="S59">[58]!POSIVOLCHANGE</f>
        <v>1</v>
      </c>
      <c r="T59" cm="1">
        <f t="array" ref="T59">[58]!POSIVOLCHANGEDAILY</f>
        <v>51016</v>
      </c>
      <c r="U59" t="str" cm="1">
        <f t="array" ref="U59">[58]!INST_STATE</f>
        <v>连续交易</v>
      </c>
      <c r="V59" t="str" cm="1">
        <f t="array" ref="V59">[58]!UPDATETIME</f>
        <v>22:52:40.500</v>
      </c>
      <c r="W59" cm="1">
        <f t="array" ref="W59">[58]!UPPERLIMITPRICE</f>
        <v>4037</v>
      </c>
      <c r="X59" cm="1">
        <f t="array" ref="X59">[58]!LOWERLIMITPRICE</f>
        <v>3581</v>
      </c>
      <c r="Y59" t="e" cm="1">
        <f t="array" ref="Y59">[58]!CLOSEPRICE</f>
        <v>#N/A</v>
      </c>
      <c r="Z59" t="e" cm="1">
        <f t="array" ref="Z59">[58]!SETTLEPRICE</f>
        <v>#N/A</v>
      </c>
      <c r="AA59" cm="1">
        <f t="array" ref="AA59">[58]!PRECLOSE</f>
        <v>3791</v>
      </c>
      <c r="AB59" cm="1">
        <f t="array" ref="AB59">[58]!PRESETTLEPRICE</f>
        <v>3809</v>
      </c>
      <c r="AC59" t="s">
        <v>112</v>
      </c>
      <c r="AD59" t="s">
        <v>161</v>
      </c>
      <c r="AE59">
        <v>10</v>
      </c>
      <c r="AF59">
        <v>20260728</v>
      </c>
      <c r="AG59" t="e" cm="1">
        <f t="array" ref="AG59">[58]!MARGIN</f>
        <v>#N/A</v>
      </c>
      <c r="AH59" t="e" cm="1">
        <f t="array" ref="AH59">[58]!FEE</f>
        <v>#N/A</v>
      </c>
      <c r="AJ59" cm="1">
        <f t="array" ref="AJ59">[58]!IMPLYBIDVOLUME1</f>
        <v>0</v>
      </c>
      <c r="AK59" t="e" cm="1">
        <f t="array" ref="AK59">[58]!IMPLYBIDPRICE1</f>
        <v>#N/A</v>
      </c>
      <c r="AL59" t="e" cm="1">
        <f t="array" ref="AL59">[58]!IMPLYASKPRICE1</f>
        <v>#N/A</v>
      </c>
      <c r="AM59" cm="1">
        <f t="array" ref="AM59">[58]!IMPLYASKVOLUME1</f>
        <v>0</v>
      </c>
      <c r="AN59" cm="1">
        <f t="array" ref="AN59">[58]!VOLUMEBIDLOT</f>
        <v>0</v>
      </c>
      <c r="AO59" cm="1">
        <f t="array" ref="AO59">[58]!VOLUMEASKLOT</f>
        <v>0</v>
      </c>
    </row>
    <row r="60" spans="1:41" x14ac:dyDescent="0.25">
      <c r="A60" t="s">
        <v>162</v>
      </c>
      <c r="B60" t="s">
        <v>162</v>
      </c>
      <c r="C60" cm="1">
        <f t="array" ref="C60">[59]!NETVOLUME2200107473</f>
        <v>0</v>
      </c>
      <c r="D60" cm="1">
        <f t="array" ref="D60">[59]!LONGPOSITION2200107473</f>
        <v>0</v>
      </c>
      <c r="E60" cm="1">
        <f t="array" ref="E60">[59]!SHORTPOSITION2200107473</f>
        <v>0</v>
      </c>
      <c r="F60" cm="1">
        <f t="array" ref="F60">[59]!MTMPL2200107473</f>
        <v>0</v>
      </c>
      <c r="G60" cm="1">
        <f t="array" ref="G60">[59]!LASTPRICE</f>
        <v>1216.5</v>
      </c>
      <c r="H60" cm="1">
        <f t="array" ref="H60">[59]!NETCHANGE</f>
        <v>2</v>
      </c>
      <c r="I60" t="str" cm="1">
        <f t="array" ref="I60">[59]!NETCHANGERATE</f>
        <v>+0.16%</v>
      </c>
      <c r="J60" cm="1">
        <f t="array" ref="J60">[59]!BIDVOLUME1</f>
        <v>161</v>
      </c>
      <c r="K60" cm="1">
        <f t="array" ref="K60">[59]!BIDPRICE1</f>
        <v>1216</v>
      </c>
      <c r="L60" cm="1">
        <f t="array" ref="L60">[59]!ASKPRICE1</f>
        <v>1216.5</v>
      </c>
      <c r="M60" cm="1">
        <f t="array" ref="M60">[59]!ASKVOLUME1</f>
        <v>88</v>
      </c>
      <c r="N60" cm="1">
        <f t="array" ref="N60">[59]!OPENPRICE</f>
        <v>1221</v>
      </c>
      <c r="O60" cm="1">
        <f t="array" ref="O60">[59]!HIGH</f>
        <v>1223</v>
      </c>
      <c r="P60" cm="1">
        <f t="array" ref="P60">[59]!LOW</f>
        <v>1196.5</v>
      </c>
      <c r="Q60" cm="1">
        <f t="array" ref="Q60">[59]!TRADEVOLUME</f>
        <v>527264</v>
      </c>
      <c r="R60" cm="1">
        <f t="array" ref="R60">[59]!POSIVOL</f>
        <v>488393</v>
      </c>
      <c r="S60" cm="1">
        <f t="array" ref="S60">[59]!POSIVOLCHANGE</f>
        <v>1</v>
      </c>
      <c r="T60" cm="1">
        <f t="array" ref="T60">[59]!POSIVOLCHANGEDAILY</f>
        <v>16441</v>
      </c>
      <c r="U60" t="str" cm="1">
        <f t="array" ref="U60">[59]!INST_STATE</f>
        <v>连续交易</v>
      </c>
      <c r="V60" t="str" cm="1">
        <f t="array" ref="V60">[59]!UPDATETIME</f>
        <v>22:52:40.500</v>
      </c>
      <c r="W60" cm="1">
        <f t="array" ref="W60">[59]!UPPERLIMITPRICE</f>
        <v>1311.5</v>
      </c>
      <c r="X60" cm="1">
        <f t="array" ref="X60">[59]!LOWERLIMITPRICE</f>
        <v>1117.5</v>
      </c>
      <c r="Y60" t="e" cm="1">
        <f t="array" ref="Y60">[59]!CLOSEPRICE</f>
        <v>#N/A</v>
      </c>
      <c r="Z60" t="e" cm="1">
        <f t="array" ref="Z60">[59]!SETTLEPRICE</f>
        <v>#N/A</v>
      </c>
      <c r="AA60" cm="1">
        <f t="array" ref="AA60">[59]!PRECLOSE</f>
        <v>1221</v>
      </c>
      <c r="AB60" cm="1">
        <f t="array" ref="AB60">[59]!PRESETTLEPRICE</f>
        <v>1214.5</v>
      </c>
      <c r="AC60" t="s">
        <v>112</v>
      </c>
      <c r="AD60" t="s">
        <v>163</v>
      </c>
      <c r="AE60">
        <v>60</v>
      </c>
      <c r="AF60">
        <v>20260914</v>
      </c>
      <c r="AG60" t="e" cm="1">
        <f t="array" ref="AG60">[59]!MARGIN</f>
        <v>#N/A</v>
      </c>
      <c r="AH60" t="e" cm="1">
        <f t="array" ref="AH60">[59]!FEE</f>
        <v>#N/A</v>
      </c>
      <c r="AJ60" cm="1">
        <f t="array" ref="AJ60">[59]!IMPLYBIDVOLUME1</f>
        <v>0</v>
      </c>
      <c r="AK60" t="e" cm="1">
        <f t="array" ref="AK60">[59]!IMPLYBIDPRICE1</f>
        <v>#N/A</v>
      </c>
      <c r="AL60" t="e" cm="1">
        <f t="array" ref="AL60">[59]!IMPLYASKPRICE1</f>
        <v>#N/A</v>
      </c>
      <c r="AM60" cm="1">
        <f t="array" ref="AM60">[59]!IMPLYASKVOLUME1</f>
        <v>0</v>
      </c>
      <c r="AN60" cm="1">
        <f t="array" ref="AN60">[59]!VOLUMEBIDLOT</f>
        <v>0</v>
      </c>
      <c r="AO60" cm="1">
        <f t="array" ref="AO60">[59]!VOLUMEASKLOT</f>
        <v>0</v>
      </c>
    </row>
    <row r="61" spans="1:41" x14ac:dyDescent="0.25">
      <c r="A61" t="s">
        <v>164</v>
      </c>
      <c r="B61" t="s">
        <v>164</v>
      </c>
      <c r="C61" cm="1">
        <f t="array" ref="C61">[60]!NETVOLUME2200107473</f>
        <v>0</v>
      </c>
      <c r="D61" cm="1">
        <f t="array" ref="D61">[60]!LONGPOSITION2200107473</f>
        <v>0</v>
      </c>
      <c r="E61" cm="1">
        <f t="array" ref="E61">[60]!SHORTPOSITION2200107473</f>
        <v>0</v>
      </c>
      <c r="F61" cm="1">
        <f t="array" ref="F61">[60]!MTMPL2200107473</f>
        <v>0</v>
      </c>
      <c r="G61" cm="1">
        <f t="array" ref="G61">[60]!LASTPRICE</f>
        <v>8120</v>
      </c>
      <c r="H61" cm="1">
        <f t="array" ref="H61">[60]!NETCHANGE</f>
        <v>94</v>
      </c>
      <c r="I61" t="str" cm="1">
        <f t="array" ref="I61">[60]!NETCHANGERATE</f>
        <v>+1.17%</v>
      </c>
      <c r="J61" cm="1">
        <f t="array" ref="J61">[60]!BIDVOLUME1</f>
        <v>150</v>
      </c>
      <c r="K61" cm="1">
        <f t="array" ref="K61">[60]!BIDPRICE1</f>
        <v>8119</v>
      </c>
      <c r="L61" cm="1">
        <f t="array" ref="L61">[60]!ASKPRICE1</f>
        <v>8120</v>
      </c>
      <c r="M61" cm="1">
        <f t="array" ref="M61">[60]!ASKVOLUME1</f>
        <v>58</v>
      </c>
      <c r="N61" cm="1">
        <f t="array" ref="N61">[60]!OPENPRICE</f>
        <v>8070</v>
      </c>
      <c r="O61" cm="1">
        <f t="array" ref="O61">[60]!HIGH</f>
        <v>8210</v>
      </c>
      <c r="P61" cm="1">
        <f t="array" ref="P61">[60]!LOW</f>
        <v>8054</v>
      </c>
      <c r="Q61" cm="1">
        <f t="array" ref="Q61">[60]!TRADEVOLUME</f>
        <v>600021</v>
      </c>
      <c r="R61" cm="1">
        <f t="array" ref="R61">[60]!POSIVOL</f>
        <v>383159</v>
      </c>
      <c r="S61" cm="1">
        <f t="array" ref="S61">[60]!POSIVOLCHANGE</f>
        <v>1</v>
      </c>
      <c r="T61" cm="1">
        <f t="array" ref="T61">[60]!POSIVOLCHANGEDAILY</f>
        <v>-8737</v>
      </c>
      <c r="U61" t="str" cm="1">
        <f t="array" ref="U61">[60]!INST_STATE</f>
        <v>连续交易</v>
      </c>
      <c r="V61" t="str" cm="1">
        <f t="array" ref="V61">[60]!UPDATETIME</f>
        <v>22:52:40.500</v>
      </c>
      <c r="W61" cm="1">
        <f t="array" ref="W61">[60]!UPPERLIMITPRICE</f>
        <v>8748</v>
      </c>
      <c r="X61" cm="1">
        <f t="array" ref="X61">[60]!LOWERLIMITPRICE</f>
        <v>7304</v>
      </c>
      <c r="Y61" t="e" cm="1">
        <f t="array" ref="Y61">[60]!CLOSEPRICE</f>
        <v>#N/A</v>
      </c>
      <c r="Z61" t="e" cm="1">
        <f t="array" ref="Z61">[60]!SETTLEPRICE</f>
        <v>#N/A</v>
      </c>
      <c r="AA61" cm="1">
        <f t="array" ref="AA61">[60]!PRECLOSE</f>
        <v>8051</v>
      </c>
      <c r="AB61" cm="1">
        <f t="array" ref="AB61">[60]!PRESETTLEPRICE</f>
        <v>8026</v>
      </c>
      <c r="AC61" t="s">
        <v>112</v>
      </c>
      <c r="AD61" t="s">
        <v>165</v>
      </c>
      <c r="AE61">
        <v>5</v>
      </c>
      <c r="AF61">
        <v>20260914</v>
      </c>
      <c r="AG61" t="e" cm="1">
        <f t="array" ref="AG61">[60]!MARGIN</f>
        <v>#N/A</v>
      </c>
      <c r="AH61" t="e" cm="1">
        <f t="array" ref="AH61">[60]!FEE</f>
        <v>#N/A</v>
      </c>
      <c r="AJ61" cm="1">
        <f t="array" ref="AJ61">[60]!IMPLYBIDVOLUME1</f>
        <v>0</v>
      </c>
      <c r="AK61" t="e" cm="1">
        <f t="array" ref="AK61">[60]!IMPLYBIDPRICE1</f>
        <v>#N/A</v>
      </c>
      <c r="AL61" t="e" cm="1">
        <f t="array" ref="AL61">[60]!IMPLYASKPRICE1</f>
        <v>#N/A</v>
      </c>
      <c r="AM61" cm="1">
        <f t="array" ref="AM61">[60]!IMPLYASKVOLUME1</f>
        <v>0</v>
      </c>
      <c r="AN61" cm="1">
        <f t="array" ref="AN61">[60]!VOLUMEBIDLOT</f>
        <v>0</v>
      </c>
      <c r="AO61" cm="1">
        <f t="array" ref="AO61">[60]!VOLUMEASKLOT</f>
        <v>0</v>
      </c>
    </row>
    <row r="62" spans="1:41" x14ac:dyDescent="0.25">
      <c r="A62" t="s">
        <v>166</v>
      </c>
      <c r="B62" t="s">
        <v>166</v>
      </c>
      <c r="C62" cm="1">
        <f t="array" ref="C62">[61]!NETVOLUME2200107473</f>
        <v>0</v>
      </c>
      <c r="D62" cm="1">
        <f t="array" ref="D62">[61]!LONGPOSITION2200107473</f>
        <v>0</v>
      </c>
      <c r="E62" cm="1">
        <f t="array" ref="E62">[61]!SHORTPOSITION2200107473</f>
        <v>0</v>
      </c>
      <c r="F62" cm="1">
        <f t="array" ref="F62">[61]!MTMPL2200107473</f>
        <v>0</v>
      </c>
      <c r="G62" cm="1">
        <f t="array" ref="G62">[61]!LASTPRICE</f>
        <v>183360</v>
      </c>
      <c r="H62" cm="1">
        <f t="array" ref="H62">[61]!NETCHANGE</f>
        <v>-2160</v>
      </c>
      <c r="I62" t="str" cm="1">
        <f t="array" ref="I62">[61]!NETCHANGERATE</f>
        <v>-1.16%</v>
      </c>
      <c r="J62" cm="1">
        <f t="array" ref="J62">[61]!BIDVOLUME1</f>
        <v>31</v>
      </c>
      <c r="K62" cm="1">
        <f t="array" ref="K62">[61]!BIDPRICE1</f>
        <v>183360</v>
      </c>
      <c r="L62" cm="1">
        <f t="array" ref="L62">[61]!ASKPRICE1</f>
        <v>183420</v>
      </c>
      <c r="M62" cm="1">
        <f t="array" ref="M62">[61]!ASKVOLUME1</f>
        <v>72</v>
      </c>
      <c r="N62" cm="1">
        <f t="array" ref="N62">[61]!OPENPRICE</f>
        <v>182120</v>
      </c>
      <c r="O62" cm="1">
        <f t="array" ref="O62">[61]!HIGH</f>
        <v>183420</v>
      </c>
      <c r="P62" cm="1">
        <f t="array" ref="P62">[61]!LOW</f>
        <v>175200</v>
      </c>
      <c r="Q62" cm="1">
        <f t="array" ref="Q62">[61]!TRADEVOLUME</f>
        <v>350033</v>
      </c>
      <c r="R62" cm="1">
        <f t="array" ref="R62">[61]!POSIVOL</f>
        <v>448788</v>
      </c>
      <c r="S62" cm="1">
        <f t="array" ref="S62">[61]!POSIVOLCHANGE</f>
        <v>-3</v>
      </c>
      <c r="T62" cm="1">
        <f t="array" ref="T62">[61]!POSIVOLCHANGEDAILY</f>
        <v>2364</v>
      </c>
      <c r="U62" t="str" cm="1">
        <f t="array" ref="U62">[61]!INST_STATE</f>
        <v>连续交易</v>
      </c>
      <c r="V62" t="str" cm="1">
        <f t="array" ref="V62">[61]!UPDATETIME</f>
        <v>22:52:40.000</v>
      </c>
      <c r="W62" cm="1">
        <f t="array" ref="W62">[61]!UPPERLIMITPRICE</f>
        <v>209620</v>
      </c>
      <c r="X62" cm="1">
        <f t="array" ref="X62">[61]!LOWERLIMITPRICE</f>
        <v>161420</v>
      </c>
      <c r="Y62" t="e" cm="1">
        <f t="array" ref="Y62">[61]!CLOSEPRICE</f>
        <v>#N/A</v>
      </c>
      <c r="Z62" t="e" cm="1">
        <f t="array" ref="Z62">[61]!SETTLEPRICE</f>
        <v>#N/A</v>
      </c>
      <c r="AA62" cm="1">
        <f t="array" ref="AA62">[61]!PRECLOSE</f>
        <v>184400</v>
      </c>
      <c r="AB62" cm="1">
        <f t="array" ref="AB62">[61]!PRESETTLEPRICE</f>
        <v>185520</v>
      </c>
      <c r="AC62" t="s">
        <v>167</v>
      </c>
      <c r="AD62" t="s">
        <v>168</v>
      </c>
      <c r="AE62">
        <v>1</v>
      </c>
      <c r="AF62">
        <v>20260914</v>
      </c>
      <c r="AG62" t="e" cm="1">
        <f t="array" ref="AG62">[61]!MARGIN</f>
        <v>#N/A</v>
      </c>
      <c r="AH62" t="e" cm="1">
        <f t="array" ref="AH62">[61]!FEE</f>
        <v>#N/A</v>
      </c>
      <c r="AJ62" cm="1">
        <f t="array" ref="AJ62">[61]!IMPLYBIDVOLUME1</f>
        <v>0</v>
      </c>
      <c r="AK62" t="e" cm="1">
        <f t="array" ref="AK62">[61]!IMPLYBIDPRICE1</f>
        <v>#N/A</v>
      </c>
      <c r="AL62" t="e" cm="1">
        <f t="array" ref="AL62">[61]!IMPLYASKPRICE1</f>
        <v>#N/A</v>
      </c>
      <c r="AM62" cm="1">
        <f t="array" ref="AM62">[61]!IMPLYASKVOLUME1</f>
        <v>0</v>
      </c>
      <c r="AN62" cm="1">
        <f t="array" ref="AN62">[61]!VOLUMEBIDLOT</f>
        <v>0</v>
      </c>
      <c r="AO62" cm="1">
        <f t="array" ref="AO62">[61]!VOLUMEASKLOT</f>
        <v>0</v>
      </c>
    </row>
    <row r="63" spans="1:41" x14ac:dyDescent="0.25">
      <c r="A63" t="s">
        <v>169</v>
      </c>
      <c r="B63" t="s">
        <v>169</v>
      </c>
      <c r="C63" cm="1">
        <f t="array" ref="C63">[62]!NETVOLUME2200107473</f>
        <v>0</v>
      </c>
      <c r="D63" cm="1">
        <f t="array" ref="D63">[62]!LONGPOSITION2200107473</f>
        <v>0</v>
      </c>
      <c r="E63" cm="1">
        <f t="array" ref="E63">[62]!SHORTPOSITION2200107473</f>
        <v>0</v>
      </c>
      <c r="F63" cm="1">
        <f t="array" ref="F63">[62]!MTMPL2200107473</f>
        <v>0</v>
      </c>
      <c r="G63" cm="1">
        <f t="array" ref="G63">[62]!LASTPRICE</f>
        <v>813</v>
      </c>
      <c r="H63" cm="1">
        <f t="array" ref="H63">[62]!NETCHANGE</f>
        <v>-2.5</v>
      </c>
      <c r="I63" t="str" cm="1">
        <f t="array" ref="I63">[62]!NETCHANGERATE</f>
        <v>-0.31%</v>
      </c>
      <c r="J63" cm="1">
        <f t="array" ref="J63">[62]!BIDVOLUME1</f>
        <v>22</v>
      </c>
      <c r="K63" cm="1">
        <f t="array" ref="K63">[62]!BIDPRICE1</f>
        <v>813</v>
      </c>
      <c r="L63" cm="1">
        <f t="array" ref="L63">[62]!ASKPRICE1</f>
        <v>813.5</v>
      </c>
      <c r="M63" cm="1">
        <f t="array" ref="M63">[62]!ASKVOLUME1</f>
        <v>22</v>
      </c>
      <c r="N63" cm="1">
        <f t="array" ref="N63">[62]!OPENPRICE</f>
        <v>810.5</v>
      </c>
      <c r="O63" cm="1">
        <f t="array" ref="O63">[62]!HIGH</f>
        <v>814</v>
      </c>
      <c r="P63" cm="1">
        <f t="array" ref="P63">[62]!LOW</f>
        <v>809.5</v>
      </c>
      <c r="Q63" cm="1">
        <f t="array" ref="Q63">[62]!TRADEVOLUME</f>
        <v>3065</v>
      </c>
      <c r="R63" cm="1">
        <f t="array" ref="R63">[62]!POSIVOL</f>
        <v>11849</v>
      </c>
      <c r="S63" cm="1">
        <f t="array" ref="S63">[62]!POSIVOLCHANGE</f>
        <v>0</v>
      </c>
      <c r="T63" cm="1">
        <f t="array" ref="T63">[62]!POSIVOLCHANGEDAILY</f>
        <v>65</v>
      </c>
      <c r="U63" t="str" cm="1">
        <f t="array" ref="U63">[62]!INST_STATE</f>
        <v>连续交易</v>
      </c>
      <c r="V63" t="str" cm="1">
        <f t="array" ref="V63">[62]!UPDATETIME</f>
        <v>22:52:39.500</v>
      </c>
      <c r="W63" cm="1">
        <f t="array" ref="W63">[62]!UPPERLIMITPRICE</f>
        <v>864</v>
      </c>
      <c r="X63" cm="1">
        <f t="array" ref="X63">[62]!LOWERLIMITPRICE</f>
        <v>767</v>
      </c>
      <c r="Y63" t="e" cm="1">
        <f t="array" ref="Y63">[62]!CLOSEPRICE</f>
        <v>#N/A</v>
      </c>
      <c r="Z63" t="e" cm="1">
        <f t="array" ref="Z63">[62]!SETTLEPRICE</f>
        <v>#N/A</v>
      </c>
      <c r="AA63" cm="1">
        <f t="array" ref="AA63">[62]!PRECLOSE</f>
        <v>812.5</v>
      </c>
      <c r="AB63" cm="1">
        <f t="array" ref="AB63">[62]!PRESETTLEPRICE</f>
        <v>815.5</v>
      </c>
      <c r="AC63" t="s">
        <v>112</v>
      </c>
      <c r="AD63" t="s">
        <v>170</v>
      </c>
      <c r="AE63">
        <v>90</v>
      </c>
      <c r="AF63">
        <v>20260728</v>
      </c>
      <c r="AG63" t="e" cm="1">
        <f t="array" ref="AG63">[62]!MARGIN</f>
        <v>#N/A</v>
      </c>
      <c r="AH63" t="e" cm="1">
        <f t="array" ref="AH63">[62]!FEE</f>
        <v>#N/A</v>
      </c>
      <c r="AJ63" cm="1">
        <f t="array" ref="AJ63">[62]!IMPLYBIDVOLUME1</f>
        <v>0</v>
      </c>
      <c r="AK63" t="e" cm="1">
        <f t="array" ref="AK63">[62]!IMPLYBIDPRICE1</f>
        <v>#N/A</v>
      </c>
      <c r="AL63" t="e" cm="1">
        <f t="array" ref="AL63">[62]!IMPLYASKPRICE1</f>
        <v>#N/A</v>
      </c>
      <c r="AM63" cm="1">
        <f t="array" ref="AM63">[62]!IMPLYASKVOLUME1</f>
        <v>0</v>
      </c>
      <c r="AN63" cm="1">
        <f t="array" ref="AN63">[62]!VOLUMEBIDLOT</f>
        <v>0</v>
      </c>
      <c r="AO63" cm="1">
        <f t="array" ref="AO63">[62]!VOLUMEASKLOT</f>
        <v>0</v>
      </c>
    </row>
    <row r="64" spans="1:41" x14ac:dyDescent="0.25">
      <c r="A64" t="s">
        <v>171</v>
      </c>
      <c r="B64" t="s">
        <v>171</v>
      </c>
      <c r="C64" cm="1">
        <f t="array" ref="C64">[63]!NETVOLUME2200107473</f>
        <v>0</v>
      </c>
      <c r="D64" cm="1">
        <f t="array" ref="D64">[63]!LONGPOSITION2200107473</f>
        <v>0</v>
      </c>
      <c r="E64" cm="1">
        <f t="array" ref="E64">[63]!SHORTPOSITION2200107473</f>
        <v>0</v>
      </c>
      <c r="F64" cm="1">
        <f t="array" ref="F64">[63]!MTMPL2200107473</f>
        <v>0</v>
      </c>
      <c r="G64" cm="1">
        <f t="array" ref="G64">[63]!LASTPRICE</f>
        <v>10810</v>
      </c>
      <c r="H64" cm="1">
        <f t="array" ref="H64">[63]!NETCHANGE</f>
        <v>-5</v>
      </c>
      <c r="I64" t="str" cm="1">
        <f t="array" ref="I64">[63]!NETCHANGERATE</f>
        <v>-0.05%</v>
      </c>
      <c r="J64" cm="1">
        <f t="array" ref="J64">[63]!BIDVOLUME1</f>
        <v>80</v>
      </c>
      <c r="K64" cm="1">
        <f t="array" ref="K64">[63]!BIDPRICE1</f>
        <v>10810</v>
      </c>
      <c r="L64" cm="1">
        <f t="array" ref="L64">[63]!ASKPRICE1</f>
        <v>10815</v>
      </c>
      <c r="M64" cm="1">
        <f t="array" ref="M64">[63]!ASKVOLUME1</f>
        <v>230</v>
      </c>
      <c r="N64" cm="1">
        <f t="array" ref="N64">[63]!OPENPRICE</f>
        <v>10780</v>
      </c>
      <c r="O64" cm="1">
        <f t="array" ref="O64">[63]!HIGH</f>
        <v>10825</v>
      </c>
      <c r="P64" cm="1">
        <f t="array" ref="P64">[63]!LOW</f>
        <v>10720</v>
      </c>
      <c r="Q64" cm="1">
        <f t="array" ref="Q64">[63]!TRADEVOLUME</f>
        <v>83815</v>
      </c>
      <c r="R64" cm="1">
        <f t="array" ref="R64">[63]!POSIVOL</f>
        <v>169609</v>
      </c>
      <c r="S64" cm="1">
        <f t="array" ref="S64">[63]!POSIVOLCHANGE</f>
        <v>-1</v>
      </c>
      <c r="T64" cm="1">
        <f t="array" ref="T64">[63]!POSIVOLCHANGEDAILY</f>
        <v>-4287</v>
      </c>
      <c r="U64" t="str" cm="1">
        <f t="array" ref="U64">[63]!INST_STATE</f>
        <v>连续交易</v>
      </c>
      <c r="V64" t="str" cm="1">
        <f t="array" ref="V64">[63]!UPDATETIME</f>
        <v>22:52:40.500</v>
      </c>
      <c r="W64" cm="1">
        <f t="array" ref="W64">[63]!UPPERLIMITPRICE</f>
        <v>11460</v>
      </c>
      <c r="X64" cm="1">
        <f t="array" ref="X64">[63]!LOWERLIMITPRICE</f>
        <v>10170</v>
      </c>
      <c r="Y64" t="e" cm="1">
        <f t="array" ref="Y64">[63]!CLOSEPRICE</f>
        <v>#N/A</v>
      </c>
      <c r="Z64" t="e" cm="1">
        <f t="array" ref="Z64">[63]!SETTLEPRICE</f>
        <v>#N/A</v>
      </c>
      <c r="AA64" cm="1">
        <f t="array" ref="AA64">[63]!PRECLOSE</f>
        <v>10795</v>
      </c>
      <c r="AB64" cm="1">
        <f t="array" ref="AB64">[63]!PRESETTLEPRICE</f>
        <v>10815</v>
      </c>
      <c r="AC64" t="s">
        <v>112</v>
      </c>
      <c r="AD64" t="s">
        <v>172</v>
      </c>
      <c r="AE64">
        <v>16</v>
      </c>
      <c r="AF64">
        <v>20260728</v>
      </c>
      <c r="AG64" t="e" cm="1">
        <f t="array" ref="AG64">[63]!MARGIN</f>
        <v>#N/A</v>
      </c>
      <c r="AH64" t="e" cm="1">
        <f t="array" ref="AH64">[63]!FEE</f>
        <v>#N/A</v>
      </c>
      <c r="AJ64" cm="1">
        <f t="array" ref="AJ64">[63]!IMPLYBIDVOLUME1</f>
        <v>0</v>
      </c>
      <c r="AK64" t="e" cm="1">
        <f t="array" ref="AK64">[63]!IMPLYBIDPRICE1</f>
        <v>#N/A</v>
      </c>
      <c r="AL64" t="e" cm="1">
        <f t="array" ref="AL64">[63]!IMPLYASKPRICE1</f>
        <v>#N/A</v>
      </c>
      <c r="AM64" cm="1">
        <f t="array" ref="AM64">[63]!IMPLYASKVOLUME1</f>
        <v>0</v>
      </c>
      <c r="AN64" cm="1">
        <f t="array" ref="AN64">[63]!VOLUMEBIDLOT</f>
        <v>0</v>
      </c>
      <c r="AO64" cm="1">
        <f t="array" ref="AO64">[63]!VOLUMEASKLOT</f>
        <v>0</v>
      </c>
    </row>
    <row r="65" spans="1:41" x14ac:dyDescent="0.25">
      <c r="A65" t="s">
        <v>173</v>
      </c>
      <c r="B65" t="s">
        <v>173</v>
      </c>
      <c r="C65" cm="1">
        <f t="array" ref="C65">[64]!NETVOLUME2200107473</f>
        <v>0</v>
      </c>
      <c r="D65" cm="1">
        <f t="array" ref="D65">[64]!LONGPOSITION2200107473</f>
        <v>0</v>
      </c>
      <c r="E65" cm="1">
        <f t="array" ref="E65">[64]!SHORTPOSITION2200107473</f>
        <v>0</v>
      </c>
      <c r="F65" cm="1">
        <f t="array" ref="F65">[64]!MTMPL2200107473</f>
        <v>0</v>
      </c>
      <c r="G65" cm="1">
        <f t="array" ref="G65">[64]!LASTPRICE</f>
        <v>5156</v>
      </c>
      <c r="H65" cm="1">
        <f t="array" ref="H65">[64]!NETCHANGE</f>
        <v>-1</v>
      </c>
      <c r="I65" t="str" cm="1">
        <f t="array" ref="I65">[64]!NETCHANGERATE</f>
        <v>-0.02%</v>
      </c>
      <c r="J65" cm="1">
        <f t="array" ref="J65">[64]!BIDVOLUME1</f>
        <v>1</v>
      </c>
      <c r="K65" cm="1">
        <f t="array" ref="K65">[64]!BIDPRICE1</f>
        <v>5156</v>
      </c>
      <c r="L65" cm="1">
        <f t="array" ref="L65">[64]!ASKPRICE1</f>
        <v>5157</v>
      </c>
      <c r="M65" cm="1">
        <f t="array" ref="M65">[64]!ASKVOLUME1</f>
        <v>6</v>
      </c>
      <c r="N65" cm="1">
        <f t="array" ref="N65">[64]!OPENPRICE</f>
        <v>5227</v>
      </c>
      <c r="O65" cm="1">
        <f t="array" ref="O65">[64]!HIGH</f>
        <v>5305</v>
      </c>
      <c r="P65" cm="1">
        <f t="array" ref="P65">[64]!LOW</f>
        <v>5150</v>
      </c>
      <c r="Q65" cm="1">
        <f t="array" ref="Q65">[64]!TRADEVOLUME</f>
        <v>42904</v>
      </c>
      <c r="R65" cm="1">
        <f t="array" ref="R65">[64]!POSIVOL</f>
        <v>68550</v>
      </c>
      <c r="S65" cm="1">
        <f t="array" ref="S65">[64]!POSIVOLCHANGE</f>
        <v>0</v>
      </c>
      <c r="T65" cm="1">
        <f t="array" ref="T65">[64]!POSIVOLCHANGEDAILY</f>
        <v>-1034</v>
      </c>
      <c r="U65" t="str" cm="1">
        <f t="array" ref="U65">[64]!INST_STATE</f>
        <v>连续交易</v>
      </c>
      <c r="V65" t="str" cm="1">
        <f t="array" ref="V65">[64]!UPDATETIME</f>
        <v>22:52:40.500</v>
      </c>
      <c r="W65" cm="1">
        <f t="array" ref="W65">[64]!UPPERLIMITPRICE</f>
        <v>6188</v>
      </c>
      <c r="X65" cm="1">
        <f t="array" ref="X65">[64]!LOWERLIMITPRICE</f>
        <v>4125</v>
      </c>
      <c r="Y65" t="e" cm="1">
        <f t="array" ref="Y65">[64]!CLOSEPRICE</f>
        <v>#N/A</v>
      </c>
      <c r="Z65" t="e" cm="1">
        <f t="array" ref="Z65">[64]!SETTLEPRICE</f>
        <v>#N/A</v>
      </c>
      <c r="AA65" cm="1">
        <f t="array" ref="AA65">[64]!PRECLOSE</f>
        <v>5232</v>
      </c>
      <c r="AB65" cm="1">
        <f t="array" ref="AB65">[64]!PRESETTLEPRICE</f>
        <v>5157</v>
      </c>
      <c r="AC65" t="s">
        <v>130</v>
      </c>
      <c r="AD65" t="s">
        <v>174</v>
      </c>
      <c r="AE65">
        <v>10</v>
      </c>
      <c r="AF65">
        <v>20260630</v>
      </c>
      <c r="AG65" t="e" cm="1">
        <f t="array" ref="AG65">[64]!MARGIN</f>
        <v>#N/A</v>
      </c>
      <c r="AH65" t="e" cm="1">
        <f t="array" ref="AH65">[64]!FEE</f>
        <v>#N/A</v>
      </c>
      <c r="AJ65" cm="1">
        <f t="array" ref="AJ65">[64]!IMPLYBIDVOLUME1</f>
        <v>0</v>
      </c>
      <c r="AK65" t="e" cm="1">
        <f t="array" ref="AK65">[64]!IMPLYBIDPRICE1</f>
        <v>#N/A</v>
      </c>
      <c r="AL65" t="e" cm="1">
        <f t="array" ref="AL65">[64]!IMPLYASKPRICE1</f>
        <v>#N/A</v>
      </c>
      <c r="AM65" cm="1">
        <f t="array" ref="AM65">[64]!IMPLYASKVOLUME1</f>
        <v>0</v>
      </c>
      <c r="AN65" cm="1">
        <f t="array" ref="AN65">[64]!VOLUMEBIDLOT</f>
        <v>0</v>
      </c>
      <c r="AO65" cm="1">
        <f t="array" ref="AO65">[64]!VOLUMEASKLOT</f>
        <v>0</v>
      </c>
    </row>
    <row r="66" spans="1:41" x14ac:dyDescent="0.25">
      <c r="A66" t="s">
        <v>175</v>
      </c>
      <c r="B66" t="s">
        <v>175</v>
      </c>
      <c r="C66" cm="1">
        <f t="array" ref="C66">[65]!NETVOLUME2200107473</f>
        <v>0</v>
      </c>
      <c r="D66" cm="1">
        <f t="array" ref="D66">[65]!LONGPOSITION2200107473</f>
        <v>0</v>
      </c>
      <c r="E66" cm="1">
        <f t="array" ref="E66">[65]!SHORTPOSITION2200107473</f>
        <v>0</v>
      </c>
      <c r="F66" cm="1">
        <f t="array" ref="F66">[65]!MTMPL2200107473</f>
        <v>0</v>
      </c>
      <c r="G66" cm="1">
        <f t="array" ref="G66">[65]!LASTPRICE</f>
        <v>3025</v>
      </c>
      <c r="H66" cm="1">
        <f t="array" ref="H66">[65]!NETCHANGE</f>
        <v>8</v>
      </c>
      <c r="I66" t="str" cm="1">
        <f t="array" ref="I66">[65]!NETCHANGERATE</f>
        <v>+0.27%</v>
      </c>
      <c r="J66" cm="1">
        <f t="array" ref="J66">[65]!BIDVOLUME1</f>
        <v>2148</v>
      </c>
      <c r="K66" cm="1">
        <f t="array" ref="K66">[65]!BIDPRICE1</f>
        <v>3025</v>
      </c>
      <c r="L66" cm="1">
        <f t="array" ref="L66">[65]!ASKPRICE1</f>
        <v>3026</v>
      </c>
      <c r="M66" cm="1">
        <f t="array" ref="M66">[65]!ASKVOLUME1</f>
        <v>724</v>
      </c>
      <c r="N66" cm="1">
        <f t="array" ref="N66">[65]!OPENPRICE</f>
        <v>3036</v>
      </c>
      <c r="O66" cm="1">
        <f t="array" ref="O66">[65]!HIGH</f>
        <v>3050</v>
      </c>
      <c r="P66" cm="1">
        <f t="array" ref="P66">[65]!LOW</f>
        <v>3020</v>
      </c>
      <c r="Q66" cm="1">
        <f t="array" ref="Q66">[65]!TRADEVOLUME</f>
        <v>1005606</v>
      </c>
      <c r="R66" cm="1">
        <f t="array" ref="R66">[65]!POSIVOL</f>
        <v>2552466</v>
      </c>
      <c r="S66" cm="1">
        <f t="array" ref="S66">[65]!POSIVOLCHANGE</f>
        <v>-6</v>
      </c>
      <c r="T66" cm="1">
        <f t="array" ref="T66">[65]!POSIVOLCHANGEDAILY</f>
        <v>5468</v>
      </c>
      <c r="U66" t="str" cm="1">
        <f t="array" ref="U66">[65]!INST_STATE</f>
        <v>连续交易</v>
      </c>
      <c r="V66" t="str" cm="1">
        <f t="array" ref="V66">[65]!UPDATETIME</f>
        <v>22:52:40.500</v>
      </c>
      <c r="W66" cm="1">
        <f t="array" ref="W66">[65]!UPPERLIMITPRICE</f>
        <v>3198</v>
      </c>
      <c r="X66" cm="1">
        <f t="array" ref="X66">[65]!LOWERLIMITPRICE</f>
        <v>2836</v>
      </c>
      <c r="Y66" t="e" cm="1">
        <f t="array" ref="Y66">[65]!CLOSEPRICE</f>
        <v>#N/A</v>
      </c>
      <c r="Z66" t="e" cm="1">
        <f t="array" ref="Z66">[65]!SETTLEPRICE</f>
        <v>#N/A</v>
      </c>
      <c r="AA66" cm="1">
        <f t="array" ref="AA66">[65]!PRECLOSE</f>
        <v>3038</v>
      </c>
      <c r="AB66" cm="1">
        <f t="array" ref="AB66">[65]!PRESETTLEPRICE</f>
        <v>3017</v>
      </c>
      <c r="AC66" t="s">
        <v>112</v>
      </c>
      <c r="AD66" t="s">
        <v>176</v>
      </c>
      <c r="AE66">
        <v>10</v>
      </c>
      <c r="AF66">
        <v>20260914</v>
      </c>
      <c r="AG66" t="e" cm="1">
        <f t="array" ref="AG66">[65]!MARGIN</f>
        <v>#N/A</v>
      </c>
      <c r="AH66" t="e" cm="1">
        <f t="array" ref="AH66">[65]!FEE</f>
        <v>#N/A</v>
      </c>
      <c r="AJ66" cm="1">
        <f t="array" ref="AJ66">[65]!IMPLYBIDVOLUME1</f>
        <v>0</v>
      </c>
      <c r="AK66" t="e" cm="1">
        <f t="array" ref="AK66">[65]!IMPLYBIDPRICE1</f>
        <v>#N/A</v>
      </c>
      <c r="AL66" t="e" cm="1">
        <f t="array" ref="AL66">[65]!IMPLYASKPRICE1</f>
        <v>#N/A</v>
      </c>
      <c r="AM66" cm="1">
        <f t="array" ref="AM66">[65]!IMPLYASKVOLUME1</f>
        <v>0</v>
      </c>
      <c r="AN66" cm="1">
        <f t="array" ref="AN66">[65]!VOLUMEBIDLOT</f>
        <v>0</v>
      </c>
      <c r="AO66" cm="1">
        <f t="array" ref="AO66">[65]!VOLUMEASKLOT</f>
        <v>0</v>
      </c>
    </row>
    <row r="67" spans="1:41" x14ac:dyDescent="0.25">
      <c r="A67" t="s">
        <v>177</v>
      </c>
      <c r="B67" t="s">
        <v>177</v>
      </c>
      <c r="C67" cm="1">
        <f t="array" ref="C67">[66]!NETVOLUME2200107473</f>
        <v>0</v>
      </c>
      <c r="D67" cm="1">
        <f t="array" ref="D67">[66]!LONGPOSITION2200107473</f>
        <v>0</v>
      </c>
      <c r="E67" cm="1">
        <f t="array" ref="E67">[66]!SHORTPOSITION2200107473</f>
        <v>0</v>
      </c>
      <c r="F67" cm="1">
        <f t="array" ref="F67">[66]!MTMPL2200107473</f>
        <v>0</v>
      </c>
      <c r="G67" cm="1">
        <f t="array" ref="G67">[66]!LASTPRICE</f>
        <v>145390</v>
      </c>
      <c r="H67" cm="1">
        <f t="array" ref="H67">[66]!NETCHANGE</f>
        <v>2680</v>
      </c>
      <c r="I67" t="str" cm="1">
        <f t="array" ref="I67">[66]!NETCHANGERATE</f>
        <v>+1.88%</v>
      </c>
      <c r="J67" cm="1">
        <f t="array" ref="J67">[66]!BIDVOLUME1</f>
        <v>7</v>
      </c>
      <c r="K67" cm="1">
        <f t="array" ref="K67">[66]!BIDPRICE1</f>
        <v>145370</v>
      </c>
      <c r="L67" cm="1">
        <f t="array" ref="L67">[66]!ASKPRICE1</f>
        <v>145390</v>
      </c>
      <c r="M67" cm="1">
        <f t="array" ref="M67">[66]!ASKVOLUME1</f>
        <v>6</v>
      </c>
      <c r="N67" cm="1">
        <f t="array" ref="N67">[66]!OPENPRICE</f>
        <v>146000</v>
      </c>
      <c r="O67" cm="1">
        <f t="array" ref="O67">[66]!HIGH</f>
        <v>146770</v>
      </c>
      <c r="P67" cm="1">
        <f t="array" ref="P67">[66]!LOW</f>
        <v>142320</v>
      </c>
      <c r="Q67" cm="1">
        <f t="array" ref="Q67">[66]!TRADEVOLUME</f>
        <v>382043</v>
      </c>
      <c r="R67" cm="1">
        <f t="array" ref="R67">[66]!POSIVOL</f>
        <v>108165</v>
      </c>
      <c r="S67" t="e" cm="1">
        <f t="array" ref="S67">[66]!POSIVOLCHANGE</f>
        <v>#N/A</v>
      </c>
      <c r="T67" cm="1">
        <f t="array" ref="T67">[66]!POSIVOLCHANGEDAILY</f>
        <v>-11863</v>
      </c>
      <c r="U67" t="str" cm="1">
        <f t="array" ref="U67">[66]!INST_STATE</f>
        <v>连续交易</v>
      </c>
      <c r="V67" t="str" cm="1">
        <f t="array" ref="V67">[66]!UPDATETIME</f>
        <v>22:00:47.000</v>
      </c>
      <c r="W67" cm="1">
        <f t="array" ref="W67">[66]!UPPERLIMITPRICE</f>
        <v>159830</v>
      </c>
      <c r="X67" cm="1">
        <f t="array" ref="X67">[66]!LOWERLIMITPRICE</f>
        <v>125580</v>
      </c>
      <c r="Y67" t="e" cm="1">
        <f t="array" ref="Y67">[66]!CLOSEPRICE</f>
        <v>#N/A</v>
      </c>
      <c r="Z67" t="e" cm="1">
        <f t="array" ref="Z67">[66]!SETTLEPRICE</f>
        <v>#N/A</v>
      </c>
      <c r="AA67" cm="1">
        <f t="array" ref="AA67">[66]!PRECLOSE</f>
        <v>144990</v>
      </c>
      <c r="AB67" cm="1">
        <f t="array" ref="AB67">[66]!PRESETTLEPRICE</f>
        <v>142710</v>
      </c>
      <c r="AC67" t="s">
        <v>115</v>
      </c>
      <c r="AD67" t="s">
        <v>178</v>
      </c>
      <c r="AE67">
        <v>1</v>
      </c>
      <c r="AF67">
        <v>20260615</v>
      </c>
      <c r="AG67" t="e" cm="1">
        <f t="array" ref="AG67">[66]!MARGIN</f>
        <v>#N/A</v>
      </c>
      <c r="AH67" t="e" cm="1">
        <f t="array" ref="AH67">[66]!FEE</f>
        <v>#N/A</v>
      </c>
      <c r="AJ67" cm="1">
        <f t="array" ref="AJ67">[66]!IMPLYBIDVOLUME1</f>
        <v>0</v>
      </c>
      <c r="AK67" t="e" cm="1">
        <f t="array" ref="AK67">[66]!IMPLYBIDPRICE1</f>
        <v>#N/A</v>
      </c>
      <c r="AL67" t="e" cm="1">
        <f t="array" ref="AL67">[66]!IMPLYASKPRICE1</f>
        <v>#N/A</v>
      </c>
      <c r="AM67" cm="1">
        <f t="array" ref="AM67">[66]!IMPLYASKVOLUME1</f>
        <v>0</v>
      </c>
      <c r="AN67" cm="1">
        <f t="array" ref="AN67">[66]!VOLUMEBIDLOT</f>
        <v>0</v>
      </c>
      <c r="AO67" cm="1">
        <f t="array" ref="AO67">[66]!VOLUMEASKLOT</f>
        <v>0</v>
      </c>
    </row>
    <row r="68" spans="1:41" x14ac:dyDescent="0.25">
      <c r="A68" t="s">
        <v>179</v>
      </c>
      <c r="B68" t="s">
        <v>179</v>
      </c>
      <c r="C68" cm="1">
        <f t="array" ref="C68">[67]!NETVOLUME2200107473</f>
        <v>0</v>
      </c>
      <c r="D68" cm="1">
        <f t="array" ref="D68">[67]!LONGPOSITION2200107473</f>
        <v>0</v>
      </c>
      <c r="E68" cm="1">
        <f t="array" ref="E68">[67]!SHORTPOSITION2200107473</f>
        <v>0</v>
      </c>
      <c r="F68" cm="1">
        <f t="array" ref="F68">[67]!MTMPL2200107473</f>
        <v>0</v>
      </c>
      <c r="G68" cm="1">
        <f t="array" ref="G68">[67]!LASTPRICE</f>
        <v>14875</v>
      </c>
      <c r="H68" cm="1">
        <f t="array" ref="H68">[67]!NETCHANGE</f>
        <v>-60</v>
      </c>
      <c r="I68" t="str" cm="1">
        <f t="array" ref="I68">[67]!NETCHANGERATE</f>
        <v>-0.40%</v>
      </c>
      <c r="J68" cm="1">
        <f t="array" ref="J68">[67]!BIDVOLUME1</f>
        <v>38</v>
      </c>
      <c r="K68" cm="1">
        <f t="array" ref="K68">[67]!BIDPRICE1</f>
        <v>14870</v>
      </c>
      <c r="L68" cm="1">
        <f t="array" ref="L68">[67]!ASKPRICE1</f>
        <v>14875</v>
      </c>
      <c r="M68" cm="1">
        <f t="array" ref="M68">[67]!ASKVOLUME1</f>
        <v>7</v>
      </c>
      <c r="N68" cm="1">
        <f t="array" ref="N68">[67]!OPENPRICE</f>
        <v>15030</v>
      </c>
      <c r="O68" cm="1">
        <f t="array" ref="O68">[67]!HIGH</f>
        <v>15070</v>
      </c>
      <c r="P68" cm="1">
        <f t="array" ref="P68">[67]!LOW</f>
        <v>14605</v>
      </c>
      <c r="Q68" cm="1">
        <f t="array" ref="Q68">[67]!TRADEVOLUME</f>
        <v>90693</v>
      </c>
      <c r="R68" cm="1">
        <f t="array" ref="R68">[67]!POSIVOL</f>
        <v>72484</v>
      </c>
      <c r="S68" cm="1">
        <f t="array" ref="S68">[67]!POSIVOLCHANGE</f>
        <v>0</v>
      </c>
      <c r="T68" cm="1">
        <f t="array" ref="T68">[67]!POSIVOLCHANGEDAILY</f>
        <v>-2743</v>
      </c>
      <c r="U68" t="str" cm="1">
        <f t="array" ref="U68">[67]!INST_STATE</f>
        <v>连续交易</v>
      </c>
      <c r="V68" t="str" cm="1">
        <f t="array" ref="V68">[67]!UPDATETIME</f>
        <v>22:52:40.500</v>
      </c>
      <c r="W68" cm="1">
        <f t="array" ref="W68">[67]!UPPERLIMITPRICE</f>
        <v>16275</v>
      </c>
      <c r="X68" cm="1">
        <f t="array" ref="X68">[67]!LOWERLIMITPRICE</f>
        <v>13590</v>
      </c>
      <c r="Y68" t="e" cm="1">
        <f t="array" ref="Y68">[67]!CLOSEPRICE</f>
        <v>#N/A</v>
      </c>
      <c r="Z68" t="e" cm="1">
        <f t="array" ref="Z68">[67]!SETTLEPRICE</f>
        <v>#N/A</v>
      </c>
      <c r="AA68" cm="1">
        <f t="array" ref="AA68">[67]!PRECLOSE</f>
        <v>15010</v>
      </c>
      <c r="AB68" cm="1">
        <f t="array" ref="AB68">[67]!PRESETTLEPRICE</f>
        <v>14935</v>
      </c>
      <c r="AC68" t="s">
        <v>130</v>
      </c>
      <c r="AD68" t="s">
        <v>180</v>
      </c>
      <c r="AE68">
        <v>10</v>
      </c>
      <c r="AF68">
        <v>20260715</v>
      </c>
      <c r="AG68" t="e" cm="1">
        <f t="array" ref="AG68">[67]!MARGIN</f>
        <v>#N/A</v>
      </c>
      <c r="AH68" t="e" cm="1">
        <f t="array" ref="AH68">[67]!FEE</f>
        <v>#N/A</v>
      </c>
      <c r="AJ68" cm="1">
        <f t="array" ref="AJ68">[67]!IMPLYBIDVOLUME1</f>
        <v>0</v>
      </c>
      <c r="AK68" t="e" cm="1">
        <f t="array" ref="AK68">[67]!IMPLYBIDPRICE1</f>
        <v>#N/A</v>
      </c>
      <c r="AL68" t="e" cm="1">
        <f t="array" ref="AL68">[67]!IMPLYASKPRICE1</f>
        <v>#N/A</v>
      </c>
      <c r="AM68" cm="1">
        <f t="array" ref="AM68">[67]!IMPLYASKVOLUME1</f>
        <v>0</v>
      </c>
      <c r="AN68" cm="1">
        <f t="array" ref="AN68">[67]!VOLUMEBIDLOT</f>
        <v>0</v>
      </c>
      <c r="AO68" cm="1">
        <f t="array" ref="AO68">[67]!VOLUMEASKLOT</f>
        <v>0</v>
      </c>
    </row>
    <row r="69" spans="1:41" x14ac:dyDescent="0.25">
      <c r="A69" t="s">
        <v>181</v>
      </c>
      <c r="B69" t="s">
        <v>181</v>
      </c>
      <c r="C69" cm="1">
        <f t="array" ref="C69">[68]!NETVOLUME2200107473</f>
        <v>0</v>
      </c>
      <c r="D69" cm="1">
        <f t="array" ref="D69">[68]!LONGPOSITION2200107473</f>
        <v>0</v>
      </c>
      <c r="E69" cm="1">
        <f t="array" ref="E69">[68]!SHORTPOSITION2200107473</f>
        <v>0</v>
      </c>
      <c r="F69" cm="1">
        <f t="array" ref="F69">[68]!MTMPL2200107473</f>
        <v>0</v>
      </c>
      <c r="G69" cm="1">
        <f t="array" ref="G69">[68]!LASTPRICE</f>
        <v>4004</v>
      </c>
      <c r="H69" cm="1">
        <f t="array" ref="H69">[68]!NETCHANGE</f>
        <v>-14</v>
      </c>
      <c r="I69" t="str" cm="1">
        <f t="array" ref="I69">[68]!NETCHANGERATE</f>
        <v>-0.35%</v>
      </c>
      <c r="J69" cm="1">
        <f t="array" ref="J69">[68]!BIDVOLUME1</f>
        <v>34</v>
      </c>
      <c r="K69" cm="1">
        <f t="array" ref="K69">[68]!BIDPRICE1</f>
        <v>4004</v>
      </c>
      <c r="L69" cm="1">
        <f t="array" ref="L69">[68]!ASKPRICE1</f>
        <v>4010</v>
      </c>
      <c r="M69" cm="1">
        <f t="array" ref="M69">[68]!ASKVOLUME1</f>
        <v>2</v>
      </c>
      <c r="N69" cm="1">
        <f t="array" ref="N69">[68]!OPENPRICE</f>
        <v>4014</v>
      </c>
      <c r="O69" cm="1">
        <f t="array" ref="O69">[68]!HIGH</f>
        <v>4026</v>
      </c>
      <c r="P69" cm="1">
        <f t="array" ref="P69">[68]!LOW</f>
        <v>4004</v>
      </c>
      <c r="Q69" cm="1">
        <f t="array" ref="Q69">[68]!TRADEVOLUME</f>
        <v>1764</v>
      </c>
      <c r="R69" cm="1">
        <f t="array" ref="R69">[68]!POSIVOL</f>
        <v>12742</v>
      </c>
      <c r="S69" t="e" cm="1">
        <f t="array" ref="S69">[68]!POSIVOLCHANGE</f>
        <v>#N/A</v>
      </c>
      <c r="T69" cm="1">
        <f t="array" ref="T69">[68]!POSIVOLCHANGEDAILY</f>
        <v>141</v>
      </c>
      <c r="U69" t="str" cm="1">
        <f t="array" ref="U69">[68]!INST_STATE</f>
        <v>连续交易</v>
      </c>
      <c r="V69" t="str" cm="1">
        <f t="array" ref="V69">[68]!UPDATETIME</f>
        <v>22:00:46.000</v>
      </c>
      <c r="W69" cm="1">
        <f t="array" ref="W69">[68]!UPPERLIMITPRICE</f>
        <v>4298</v>
      </c>
      <c r="X69" cm="1">
        <f t="array" ref="X69">[68]!LOWERLIMITPRICE</f>
        <v>3736</v>
      </c>
      <c r="Y69" t="e" cm="1">
        <f t="array" ref="Y69">[68]!CLOSEPRICE</f>
        <v>#N/A</v>
      </c>
      <c r="Z69" t="e" cm="1">
        <f t="array" ref="Z69">[68]!SETTLEPRICE</f>
        <v>#N/A</v>
      </c>
      <c r="AA69" cm="1">
        <f t="array" ref="AA69">[68]!PRECLOSE</f>
        <v>4024</v>
      </c>
      <c r="AB69" cm="1">
        <f t="array" ref="AB69">[68]!PRESETTLEPRICE</f>
        <v>4018</v>
      </c>
      <c r="AC69" t="s">
        <v>115</v>
      </c>
      <c r="AD69" t="s">
        <v>182</v>
      </c>
      <c r="AE69">
        <v>40</v>
      </c>
      <c r="AF69">
        <v>20260715</v>
      </c>
      <c r="AG69" t="e" cm="1">
        <f t="array" ref="AG69">[68]!MARGIN</f>
        <v>#N/A</v>
      </c>
      <c r="AH69" t="e" cm="1">
        <f t="array" ref="AH69">[68]!FEE</f>
        <v>#N/A</v>
      </c>
      <c r="AJ69" cm="1">
        <f t="array" ref="AJ69">[68]!IMPLYBIDVOLUME1</f>
        <v>0</v>
      </c>
      <c r="AK69" t="e" cm="1">
        <f t="array" ref="AK69">[68]!IMPLYBIDPRICE1</f>
        <v>#N/A</v>
      </c>
      <c r="AL69" t="e" cm="1">
        <f t="array" ref="AL69">[68]!IMPLYASKPRICE1</f>
        <v>#N/A</v>
      </c>
      <c r="AM69" cm="1">
        <f t="array" ref="AM69">[68]!IMPLYASKVOLUME1</f>
        <v>0</v>
      </c>
      <c r="AN69" cm="1">
        <f t="array" ref="AN69">[68]!VOLUMEBIDLOT</f>
        <v>0</v>
      </c>
      <c r="AO69" cm="1">
        <f t="array" ref="AO69">[68]!VOLUMEASKLOT</f>
        <v>0</v>
      </c>
    </row>
    <row r="70" spans="1:41" x14ac:dyDescent="0.25">
      <c r="A70" t="s">
        <v>183</v>
      </c>
      <c r="B70" t="s">
        <v>183</v>
      </c>
      <c r="C70" cm="1">
        <f t="array" ref="C70">[69]!NETVOLUME2200107473</f>
        <v>0</v>
      </c>
      <c r="D70" cm="1">
        <f t="array" ref="D70">[69]!LONGPOSITION2200107473</f>
        <v>0</v>
      </c>
      <c r="E70" cm="1">
        <f t="array" ref="E70">[69]!SHORTPOSITION2200107473</f>
        <v>0</v>
      </c>
      <c r="F70" cm="1">
        <f t="array" ref="F70">[69]!MTMPL2200107473</f>
        <v>0</v>
      </c>
      <c r="G70" cm="1">
        <f t="array" ref="G70">[69]!LASTPRICE</f>
        <v>9800</v>
      </c>
      <c r="H70" cm="1">
        <f t="array" ref="H70">[69]!NETCHANGE</f>
        <v>217</v>
      </c>
      <c r="I70" t="str" cm="1">
        <f t="array" ref="I70">[69]!NETCHANGERATE</f>
        <v>+2.26%</v>
      </c>
      <c r="J70" cm="1">
        <f t="array" ref="J70">[69]!BIDVOLUME1</f>
        <v>18</v>
      </c>
      <c r="K70" cm="1">
        <f t="array" ref="K70">[69]!BIDPRICE1</f>
        <v>9799</v>
      </c>
      <c r="L70" cm="1">
        <f t="array" ref="L70">[69]!ASKPRICE1</f>
        <v>9800</v>
      </c>
      <c r="M70" cm="1">
        <f t="array" ref="M70">[69]!ASKVOLUME1</f>
        <v>39</v>
      </c>
      <c r="N70" cm="1">
        <f t="array" ref="N70">[69]!OPENPRICE</f>
        <v>9670</v>
      </c>
      <c r="O70" cm="1">
        <f t="array" ref="O70">[69]!HIGH</f>
        <v>9858</v>
      </c>
      <c r="P70" cm="1">
        <f t="array" ref="P70">[69]!LOW</f>
        <v>9584</v>
      </c>
      <c r="Q70" cm="1">
        <f t="array" ref="Q70">[69]!TRADEVOLUME</f>
        <v>695322</v>
      </c>
      <c r="R70" cm="1">
        <f t="array" ref="R70">[69]!POSIVOL</f>
        <v>489746</v>
      </c>
      <c r="S70" cm="1">
        <f t="array" ref="S70">[69]!POSIVOLCHANGE</f>
        <v>-1</v>
      </c>
      <c r="T70" cm="1">
        <f t="array" ref="T70">[69]!POSIVOLCHANGEDAILY</f>
        <v>-14576</v>
      </c>
      <c r="U70" t="str" cm="1">
        <f t="array" ref="U70">[69]!INST_STATE</f>
        <v>连续交易</v>
      </c>
      <c r="V70" t="str" cm="1">
        <f t="array" ref="V70">[69]!UPDATETIME</f>
        <v>22:52:40.500</v>
      </c>
      <c r="W70" cm="1">
        <f t="array" ref="W70">[69]!UPPERLIMITPRICE</f>
        <v>10253</v>
      </c>
      <c r="X70" cm="1">
        <f t="array" ref="X70">[69]!LOWERLIMITPRICE</f>
        <v>8913</v>
      </c>
      <c r="Y70" t="e" cm="1">
        <f t="array" ref="Y70">[69]!CLOSEPRICE</f>
        <v>#N/A</v>
      </c>
      <c r="Z70" t="e" cm="1">
        <f t="array" ref="Z70">[69]!SETTLEPRICE</f>
        <v>#N/A</v>
      </c>
      <c r="AA70" cm="1">
        <f t="array" ref="AA70">[69]!PRECLOSE</f>
        <v>9672</v>
      </c>
      <c r="AB70" cm="1">
        <f t="array" ref="AB70">[69]!PRESETTLEPRICE</f>
        <v>9583</v>
      </c>
      <c r="AC70" t="s">
        <v>112</v>
      </c>
      <c r="AD70" t="s">
        <v>184</v>
      </c>
      <c r="AE70">
        <v>10</v>
      </c>
      <c r="AF70">
        <v>20260914</v>
      </c>
      <c r="AG70" t="e" cm="1">
        <f t="array" ref="AG70">[69]!MARGIN</f>
        <v>#N/A</v>
      </c>
      <c r="AH70" t="e" cm="1">
        <f t="array" ref="AH70">[69]!FEE</f>
        <v>#N/A</v>
      </c>
      <c r="AJ70" cm="1">
        <f t="array" ref="AJ70">[69]!IMPLYBIDVOLUME1</f>
        <v>0</v>
      </c>
      <c r="AK70" t="e" cm="1">
        <f t="array" ref="AK70">[69]!IMPLYBIDPRICE1</f>
        <v>#N/A</v>
      </c>
      <c r="AL70" t="e" cm="1">
        <f t="array" ref="AL70">[69]!IMPLYASKPRICE1</f>
        <v>#N/A</v>
      </c>
      <c r="AM70" cm="1">
        <f t="array" ref="AM70">[69]!IMPLYASKVOLUME1</f>
        <v>0</v>
      </c>
      <c r="AN70" cm="1">
        <f t="array" ref="AN70">[69]!VOLUMEBIDLOT</f>
        <v>0</v>
      </c>
      <c r="AO70" cm="1">
        <f t="array" ref="AO70">[69]!VOLUMEASKLOT</f>
        <v>0</v>
      </c>
    </row>
    <row r="71" spans="1:41" x14ac:dyDescent="0.25">
      <c r="A71" t="s">
        <v>185</v>
      </c>
      <c r="B71" t="s">
        <v>185</v>
      </c>
      <c r="C71" cm="1">
        <f t="array" ref="C71">[70]!NETVOLUME2200107473</f>
        <v>0</v>
      </c>
      <c r="D71" cm="1">
        <f t="array" ref="D71">[70]!LONGPOSITION2200107473</f>
        <v>0</v>
      </c>
      <c r="E71" cm="1">
        <f t="array" ref="E71">[70]!SHORTPOSITION2200107473</f>
        <v>0</v>
      </c>
      <c r="F71" cm="1">
        <f t="array" ref="F71">[70]!MTMPL2200107473</f>
        <v>0</v>
      </c>
      <c r="G71" cm="1">
        <f t="array" ref="G71">[70]!LASTPRICE</f>
        <v>16540</v>
      </c>
      <c r="H71" cm="1">
        <f t="array" ref="H71">[70]!NETCHANGE</f>
        <v>40</v>
      </c>
      <c r="I71" t="str" cm="1">
        <f t="array" ref="I71">[70]!NETCHANGERATE</f>
        <v>+0.24%</v>
      </c>
      <c r="J71" cm="1">
        <f t="array" ref="J71">[70]!BIDVOLUME1</f>
        <v>1</v>
      </c>
      <c r="K71" cm="1">
        <f t="array" ref="K71">[70]!BIDPRICE1</f>
        <v>16540</v>
      </c>
      <c r="L71" cm="1">
        <f t="array" ref="L71">[70]!ASKPRICE1</f>
        <v>16545</v>
      </c>
      <c r="M71" cm="1">
        <f t="array" ref="M71">[70]!ASKVOLUME1</f>
        <v>53</v>
      </c>
      <c r="N71" cm="1">
        <f t="array" ref="N71">[70]!OPENPRICE</f>
        <v>16490</v>
      </c>
      <c r="O71" cm="1">
        <f t="array" ref="O71">[70]!HIGH</f>
        <v>16555</v>
      </c>
      <c r="P71" cm="1">
        <f t="array" ref="P71">[70]!LOW</f>
        <v>16400</v>
      </c>
      <c r="Q71" cm="1">
        <f t="array" ref="Q71">[70]!TRADEVOLUME</f>
        <v>49582</v>
      </c>
      <c r="R71" cm="1">
        <f t="array" ref="R71">[70]!POSIVOL</f>
        <v>75560</v>
      </c>
      <c r="S71" t="e" cm="1">
        <f t="array" ref="S71">[70]!POSIVOLCHANGE</f>
        <v>#N/A</v>
      </c>
      <c r="T71" cm="1">
        <f t="array" ref="T71">[70]!POSIVOLCHANGEDAILY</f>
        <v>11719</v>
      </c>
      <c r="U71" t="str" cm="1">
        <f t="array" ref="U71">[70]!INST_STATE</f>
        <v>连续交易</v>
      </c>
      <c r="V71" t="str" cm="1">
        <f t="array" ref="V71">[70]!UPDATETIME</f>
        <v>22:00:47.000</v>
      </c>
      <c r="W71" cm="1">
        <f t="array" ref="W71">[70]!UPPERLIMITPRICE</f>
        <v>18150</v>
      </c>
      <c r="X71" cm="1">
        <f t="array" ref="X71">[70]!LOWERLIMITPRICE</f>
        <v>14850</v>
      </c>
      <c r="Y71" t="e" cm="1">
        <f t="array" ref="Y71">[70]!CLOSEPRICE</f>
        <v>#N/A</v>
      </c>
      <c r="Z71" t="e" cm="1">
        <f t="array" ref="Z71">[70]!SETTLEPRICE</f>
        <v>#N/A</v>
      </c>
      <c r="AA71" cm="1">
        <f t="array" ref="AA71">[70]!PRECLOSE</f>
        <v>16515</v>
      </c>
      <c r="AB71" cm="1">
        <f t="array" ref="AB71">[70]!PRESETTLEPRICE</f>
        <v>16500</v>
      </c>
      <c r="AC71" t="s">
        <v>115</v>
      </c>
      <c r="AD71" t="s">
        <v>186</v>
      </c>
      <c r="AE71">
        <v>5</v>
      </c>
      <c r="AF71">
        <v>20260715</v>
      </c>
      <c r="AG71" t="e" cm="1">
        <f t="array" ref="AG71">[70]!MARGIN</f>
        <v>#N/A</v>
      </c>
      <c r="AH71" t="e" cm="1">
        <f t="array" ref="AH71">[70]!FEE</f>
        <v>#N/A</v>
      </c>
      <c r="AJ71" cm="1">
        <f t="array" ref="AJ71">[70]!IMPLYBIDVOLUME1</f>
        <v>0</v>
      </c>
      <c r="AK71" t="e" cm="1">
        <f t="array" ref="AK71">[70]!IMPLYBIDPRICE1</f>
        <v>#N/A</v>
      </c>
      <c r="AL71" t="e" cm="1">
        <f t="array" ref="AL71">[70]!IMPLYASKPRICE1</f>
        <v>#N/A</v>
      </c>
      <c r="AM71" cm="1">
        <f t="array" ref="AM71">[70]!IMPLYASKVOLUME1</f>
        <v>0</v>
      </c>
      <c r="AN71" cm="1">
        <f t="array" ref="AN71">[70]!VOLUMEBIDLOT</f>
        <v>0</v>
      </c>
      <c r="AO71" cm="1">
        <f t="array" ref="AO71">[70]!VOLUMEASKLOT</f>
        <v>0</v>
      </c>
    </row>
    <row r="72" spans="1:41" x14ac:dyDescent="0.25">
      <c r="A72" t="s">
        <v>187</v>
      </c>
      <c r="B72" t="s">
        <v>187</v>
      </c>
      <c r="C72" cm="1">
        <f t="array" ref="C72">[71]!NETVOLUME2200107473</f>
        <v>0</v>
      </c>
      <c r="D72" cm="1">
        <f t="array" ref="D72">[71]!LONGPOSITION2200107473</f>
        <v>0</v>
      </c>
      <c r="E72" cm="1">
        <f t="array" ref="E72">[71]!SHORTPOSITION2200107473</f>
        <v>0</v>
      </c>
      <c r="F72" cm="1">
        <f t="array" ref="F72">[71]!MTMPL2200107473</f>
        <v>0</v>
      </c>
      <c r="G72" cm="1">
        <f t="array" ref="G72">[71]!LASTPRICE</f>
        <v>331.6</v>
      </c>
      <c r="H72" cm="1">
        <f t="array" ref="H72">[71]!NETCHANGE</f>
        <v>-8.0999999999999659</v>
      </c>
      <c r="I72" t="str" cm="1">
        <f t="array" ref="I72">[71]!NETCHANGERATE</f>
        <v>-2.38%</v>
      </c>
      <c r="J72" cm="1">
        <f t="array" ref="J72">[71]!BIDVOLUME1</f>
        <v>1</v>
      </c>
      <c r="K72" cm="1">
        <f t="array" ref="K72">[71]!BIDPRICE1</f>
        <v>331.65</v>
      </c>
      <c r="L72" cm="1">
        <f t="array" ref="L72">[71]!ASKPRICE1</f>
        <v>331.9</v>
      </c>
      <c r="M72" cm="1">
        <f t="array" ref="M72">[71]!ASKVOLUME1</f>
        <v>1</v>
      </c>
      <c r="N72" cm="1">
        <f t="array" ref="N72">[71]!OPENPRICE</f>
        <v>331.8</v>
      </c>
      <c r="O72" cm="1">
        <f t="array" ref="O72">[71]!HIGH</f>
        <v>333.5</v>
      </c>
      <c r="P72" cm="1">
        <f t="array" ref="P72">[71]!LOW</f>
        <v>327.64999999999998</v>
      </c>
      <c r="Q72" cm="1">
        <f t="array" ref="Q72">[71]!TRADEVOLUME</f>
        <v>2773</v>
      </c>
      <c r="R72" cm="1">
        <f t="array" ref="R72">[71]!POSIVOL</f>
        <v>5724</v>
      </c>
      <c r="S72" cm="1">
        <f t="array" ref="S72">[71]!POSIVOLCHANGE</f>
        <v>0</v>
      </c>
      <c r="T72" cm="1">
        <f t="array" ref="T72">[71]!POSIVOLCHANGEDAILY</f>
        <v>-194</v>
      </c>
      <c r="U72" t="str" cm="1">
        <f t="array" ref="U72">[71]!INST_STATE</f>
        <v>连续交易</v>
      </c>
      <c r="V72" t="str" cm="1">
        <f t="array" ref="V72">[71]!UPDATETIME</f>
        <v>22:52:31.500</v>
      </c>
      <c r="W72" cm="1">
        <f t="array" ref="W72">[71]!UPPERLIMITPRICE</f>
        <v>397.4</v>
      </c>
      <c r="X72" cm="1">
        <f t="array" ref="X72">[71]!LOWERLIMITPRICE</f>
        <v>282</v>
      </c>
      <c r="Y72" t="e" cm="1">
        <f t="array" ref="Y72">[71]!CLOSEPRICE</f>
        <v>#N/A</v>
      </c>
      <c r="Z72" t="e" cm="1">
        <f t="array" ref="Z72">[71]!SETTLEPRICE</f>
        <v>#N/A</v>
      </c>
      <c r="AA72" cm="1">
        <f t="array" ref="AA72">[71]!PRECLOSE</f>
        <v>338.8</v>
      </c>
      <c r="AB72" cm="1">
        <f t="array" ref="AB72">[71]!PRESETTLEPRICE</f>
        <v>339.7</v>
      </c>
      <c r="AC72" t="s">
        <v>167</v>
      </c>
      <c r="AD72" t="s">
        <v>188</v>
      </c>
      <c r="AE72">
        <v>1000</v>
      </c>
      <c r="AF72">
        <v>20260612</v>
      </c>
      <c r="AG72" t="e" cm="1">
        <f t="array" ref="AG72">[71]!MARGIN</f>
        <v>#N/A</v>
      </c>
      <c r="AH72" t="e" cm="1">
        <f t="array" ref="AH72">[71]!FEE</f>
        <v>#N/A</v>
      </c>
      <c r="AJ72" cm="1">
        <f t="array" ref="AJ72">[71]!IMPLYBIDVOLUME1</f>
        <v>0</v>
      </c>
      <c r="AK72" t="e" cm="1">
        <f t="array" ref="AK72">[71]!IMPLYBIDPRICE1</f>
        <v>#N/A</v>
      </c>
      <c r="AL72" t="e" cm="1">
        <f t="array" ref="AL72">[71]!IMPLYASKPRICE1</f>
        <v>#N/A</v>
      </c>
      <c r="AM72" cm="1">
        <f t="array" ref="AM72">[71]!IMPLYASKVOLUME1</f>
        <v>0</v>
      </c>
      <c r="AN72" cm="1">
        <f t="array" ref="AN72">[71]!VOLUMEBIDLOT</f>
        <v>0</v>
      </c>
      <c r="AO72" cm="1">
        <f t="array" ref="AO72">[71]!VOLUMEASKLOT</f>
        <v>0</v>
      </c>
    </row>
    <row r="73" spans="1:41" x14ac:dyDescent="0.25">
      <c r="A73" t="s">
        <v>189</v>
      </c>
      <c r="B73" t="s">
        <v>189</v>
      </c>
      <c r="C73" cm="1">
        <f t="array" ref="C73">[72]!NETVOLUME2200107473</f>
        <v>0</v>
      </c>
      <c r="D73" cm="1">
        <f t="array" ref="D73">[72]!LONGPOSITION2200107473</f>
        <v>0</v>
      </c>
      <c r="E73" cm="1">
        <f t="array" ref="E73">[72]!SHORTPOSITION2200107473</f>
        <v>0</v>
      </c>
      <c r="F73" cm="1">
        <f t="array" ref="F73">[72]!MTMPL2200107473</f>
        <v>0</v>
      </c>
      <c r="G73" cm="1">
        <f t="array" ref="G73">[72]!LASTPRICE</f>
        <v>6119</v>
      </c>
      <c r="H73" cm="1">
        <f t="array" ref="H73">[72]!NETCHANGE</f>
        <v>-7</v>
      </c>
      <c r="I73" t="str" cm="1">
        <f t="array" ref="I73">[72]!NETCHANGERATE</f>
        <v>-0.11%</v>
      </c>
      <c r="J73" cm="1">
        <f t="array" ref="J73">[72]!BIDVOLUME1</f>
        <v>1</v>
      </c>
      <c r="K73" cm="1">
        <f t="array" ref="K73">[72]!BIDPRICE1</f>
        <v>6119</v>
      </c>
      <c r="L73" cm="1">
        <f t="array" ref="L73">[72]!ASKPRICE1</f>
        <v>6120</v>
      </c>
      <c r="M73" cm="1">
        <f t="array" ref="M73">[72]!ASKVOLUME1</f>
        <v>1</v>
      </c>
      <c r="N73" cm="1">
        <f t="array" ref="N73">[72]!OPENPRICE</f>
        <v>6176</v>
      </c>
      <c r="O73" cm="1">
        <f t="array" ref="O73">[72]!HIGH</f>
        <v>6271</v>
      </c>
      <c r="P73" cm="1">
        <f t="array" ref="P73">[72]!LOW</f>
        <v>6113</v>
      </c>
      <c r="Q73" cm="1">
        <f t="array" ref="Q73">[72]!TRADEVOLUME</f>
        <v>89409</v>
      </c>
      <c r="R73" cm="1">
        <f t="array" ref="R73">[72]!POSIVOL</f>
        <v>104973</v>
      </c>
      <c r="S73" cm="1">
        <f t="array" ref="S73">[72]!POSIVOLCHANGE</f>
        <v>1</v>
      </c>
      <c r="T73" cm="1">
        <f t="array" ref="T73">[72]!POSIVOLCHANGEDAILY</f>
        <v>2754</v>
      </c>
      <c r="U73" t="str" cm="1">
        <f t="array" ref="U73">[72]!INST_STATE</f>
        <v>连续交易</v>
      </c>
      <c r="V73" t="str" cm="1">
        <f t="array" ref="V73">[72]!UPDATETIME</f>
        <v>22:52:40.500</v>
      </c>
      <c r="W73" cm="1">
        <f t="array" ref="W73">[72]!UPPERLIMITPRICE</f>
        <v>6983</v>
      </c>
      <c r="X73" cm="1">
        <f t="array" ref="X73">[72]!LOWERLIMITPRICE</f>
        <v>5269</v>
      </c>
      <c r="Y73" t="e" cm="1">
        <f t="array" ref="Y73">[72]!CLOSEPRICE</f>
        <v>#N/A</v>
      </c>
      <c r="Z73" t="e" cm="1">
        <f t="array" ref="Z73">[72]!SETTLEPRICE</f>
        <v>#N/A</v>
      </c>
      <c r="AA73" cm="1">
        <f t="array" ref="AA73">[72]!PRECLOSE</f>
        <v>6178</v>
      </c>
      <c r="AB73" cm="1">
        <f t="array" ref="AB73">[72]!PRESETTLEPRICE</f>
        <v>6126</v>
      </c>
      <c r="AC73" t="s">
        <v>112</v>
      </c>
      <c r="AD73" t="s">
        <v>190</v>
      </c>
      <c r="AE73">
        <v>20</v>
      </c>
      <c r="AF73">
        <v>20260728</v>
      </c>
      <c r="AG73" t="e" cm="1">
        <f t="array" ref="AG73">[72]!MARGIN</f>
        <v>#N/A</v>
      </c>
      <c r="AH73" t="e" cm="1">
        <f t="array" ref="AH73">[72]!FEE</f>
        <v>#N/A</v>
      </c>
      <c r="AJ73" cm="1">
        <f t="array" ref="AJ73">[72]!IMPLYBIDVOLUME1</f>
        <v>0</v>
      </c>
      <c r="AK73" t="e" cm="1">
        <f t="array" ref="AK73">[72]!IMPLYBIDPRICE1</f>
        <v>#N/A</v>
      </c>
      <c r="AL73" t="e" cm="1">
        <f t="array" ref="AL73">[72]!IMPLYASKPRICE1</f>
        <v>#N/A</v>
      </c>
      <c r="AM73" cm="1">
        <f t="array" ref="AM73">[72]!IMPLYASKVOLUME1</f>
        <v>0</v>
      </c>
      <c r="AN73" cm="1">
        <f t="array" ref="AN73">[72]!VOLUMEBIDLOT</f>
        <v>0</v>
      </c>
      <c r="AO73" cm="1">
        <f t="array" ref="AO73">[72]!VOLUMEASKLOT</f>
        <v>0</v>
      </c>
    </row>
    <row r="74" spans="1:41" x14ac:dyDescent="0.25">
      <c r="A74" t="s">
        <v>191</v>
      </c>
      <c r="B74" t="s">
        <v>191</v>
      </c>
      <c r="C74" cm="1">
        <f t="array" ref="C74">[73]!NETVOLUME2200107473</f>
        <v>0</v>
      </c>
      <c r="D74" cm="1">
        <f t="array" ref="D74">[73]!LONGPOSITION2200107473</f>
        <v>0</v>
      </c>
      <c r="E74" cm="1">
        <f t="array" ref="E74">[73]!SHORTPOSITION2200107473</f>
        <v>0</v>
      </c>
      <c r="F74" cm="1">
        <f t="array" ref="F74">[73]!MTMPL2200107473</f>
        <v>0</v>
      </c>
      <c r="G74" cm="1">
        <f t="array" ref="G74">[73]!LASTPRICE</f>
        <v>8955</v>
      </c>
      <c r="H74" cm="1">
        <f t="array" ref="H74">[73]!NETCHANGE</f>
        <v>97</v>
      </c>
      <c r="I74" t="str" cm="1">
        <f t="array" ref="I74">[73]!NETCHANGERATE</f>
        <v>+1.10%</v>
      </c>
      <c r="J74" cm="1">
        <f t="array" ref="J74">[73]!BIDVOLUME1</f>
        <v>31</v>
      </c>
      <c r="K74" cm="1">
        <f t="array" ref="K74">[73]!BIDPRICE1</f>
        <v>8954</v>
      </c>
      <c r="L74" cm="1">
        <f t="array" ref="L74">[73]!ASKPRICE1</f>
        <v>8955</v>
      </c>
      <c r="M74" cm="1">
        <f t="array" ref="M74">[73]!ASKVOLUME1</f>
        <v>11</v>
      </c>
      <c r="N74" cm="1">
        <f t="array" ref="N74">[73]!OPENPRICE</f>
        <v>8968</v>
      </c>
      <c r="O74" cm="1">
        <f t="array" ref="O74">[73]!HIGH</f>
        <v>9088</v>
      </c>
      <c r="P74" cm="1">
        <f t="array" ref="P74">[73]!LOW</f>
        <v>8914</v>
      </c>
      <c r="Q74" cm="1">
        <f t="array" ref="Q74">[73]!TRADEVOLUME</f>
        <v>622060</v>
      </c>
      <c r="R74" cm="1">
        <f t="array" ref="R74">[73]!POSIVOL</f>
        <v>591026</v>
      </c>
      <c r="S74" cm="1">
        <f t="array" ref="S74">[73]!POSIVOLCHANGE</f>
        <v>0</v>
      </c>
      <c r="T74" cm="1">
        <f t="array" ref="T74">[73]!POSIVOLCHANGEDAILY</f>
        <v>-984</v>
      </c>
      <c r="U74" t="str" cm="1">
        <f t="array" ref="U74">[73]!INST_STATE</f>
        <v>连续交易</v>
      </c>
      <c r="V74" t="str" cm="1">
        <f t="array" ref="V74">[73]!UPDATETIME</f>
        <v>22:52:40.500</v>
      </c>
      <c r="W74" cm="1">
        <f t="array" ref="W74">[73]!UPPERLIMITPRICE</f>
        <v>9655</v>
      </c>
      <c r="X74" cm="1">
        <f t="array" ref="X74">[73]!LOWERLIMITPRICE</f>
        <v>8061</v>
      </c>
      <c r="Y74" t="e" cm="1">
        <f t="array" ref="Y74">[73]!CLOSEPRICE</f>
        <v>#N/A</v>
      </c>
      <c r="Z74" t="e" cm="1">
        <f t="array" ref="Z74">[73]!SETTLEPRICE</f>
        <v>#N/A</v>
      </c>
      <c r="AA74" cm="1">
        <f t="array" ref="AA74">[73]!PRECLOSE</f>
        <v>8944</v>
      </c>
      <c r="AB74" cm="1">
        <f t="array" ref="AB74">[73]!PRESETTLEPRICE</f>
        <v>8858</v>
      </c>
      <c r="AC74" t="s">
        <v>112</v>
      </c>
      <c r="AD74" t="s">
        <v>192</v>
      </c>
      <c r="AE74">
        <v>5</v>
      </c>
      <c r="AF74">
        <v>20260914</v>
      </c>
      <c r="AG74" t="e" cm="1">
        <f t="array" ref="AG74">[73]!MARGIN</f>
        <v>#N/A</v>
      </c>
      <c r="AH74" t="e" cm="1">
        <f t="array" ref="AH74">[73]!FEE</f>
        <v>#N/A</v>
      </c>
      <c r="AJ74" cm="1">
        <f t="array" ref="AJ74">[73]!IMPLYBIDVOLUME1</f>
        <v>0</v>
      </c>
      <c r="AK74" t="e" cm="1">
        <f t="array" ref="AK74">[73]!IMPLYBIDPRICE1</f>
        <v>#N/A</v>
      </c>
      <c r="AL74" t="e" cm="1">
        <f t="array" ref="AL74">[73]!IMPLYASKPRICE1</f>
        <v>#N/A</v>
      </c>
      <c r="AM74" cm="1">
        <f t="array" ref="AM74">[73]!IMPLYASKVOLUME1</f>
        <v>0</v>
      </c>
      <c r="AN74" cm="1">
        <f t="array" ref="AN74">[73]!VOLUMEBIDLOT</f>
        <v>0</v>
      </c>
      <c r="AO74" cm="1">
        <f t="array" ref="AO74">[73]!VOLUMEASKLOT</f>
        <v>0</v>
      </c>
    </row>
    <row r="75" spans="1:41" x14ac:dyDescent="0.25">
      <c r="A75" t="s">
        <v>193</v>
      </c>
      <c r="B75" t="s">
        <v>193</v>
      </c>
      <c r="C75" cm="1">
        <f t="array" ref="C75">[74]!NETVOLUME2200107473</f>
        <v>0</v>
      </c>
      <c r="D75" cm="1">
        <f t="array" ref="D75">[74]!LONGPOSITION2200107473</f>
        <v>0</v>
      </c>
      <c r="E75" cm="1">
        <f t="array" ref="E75">[74]!SHORTPOSITION2200107473</f>
        <v>0</v>
      </c>
      <c r="F75" cm="1">
        <f t="array" ref="F75">[74]!MTMPL2200107473</f>
        <v>0</v>
      </c>
      <c r="G75" cm="1">
        <f t="array" ref="G75">[74]!LASTPRICE</f>
        <v>37015</v>
      </c>
      <c r="H75" cm="1">
        <f t="array" ref="H75">[74]!NETCHANGE</f>
        <v>465</v>
      </c>
      <c r="I75" t="str" cm="1">
        <f t="array" ref="I75">[74]!NETCHANGERATE</f>
        <v>+1.27%</v>
      </c>
      <c r="J75" cm="1">
        <f t="array" ref="J75">[74]!BIDVOLUME1</f>
        <v>9</v>
      </c>
      <c r="K75" cm="1">
        <f t="array" ref="K75">[74]!BIDPRICE1</f>
        <v>36990</v>
      </c>
      <c r="L75" cm="1">
        <f t="array" ref="L75">[74]!ASKPRICE1</f>
        <v>37020</v>
      </c>
      <c r="M75" cm="1">
        <f t="array" ref="M75">[74]!ASKVOLUME1</f>
        <v>1</v>
      </c>
      <c r="N75" cm="1">
        <f t="array" ref="N75">[74]!OPENPRICE</f>
        <v>36220</v>
      </c>
      <c r="O75" cm="1">
        <f t="array" ref="O75">[74]!HIGH</f>
        <v>37520</v>
      </c>
      <c r="P75" cm="1">
        <f t="array" ref="P75">[74]!LOW</f>
        <v>35555</v>
      </c>
      <c r="Q75" cm="1">
        <f t="array" ref="Q75">[74]!TRADEVOLUME</f>
        <v>96553</v>
      </c>
      <c r="R75" cm="1">
        <f t="array" ref="R75">[74]!POSIVOL</f>
        <v>44556</v>
      </c>
      <c r="S75" cm="1">
        <f t="array" ref="S75">[74]!POSIVOLCHANGE</f>
        <v>0</v>
      </c>
      <c r="T75" cm="1">
        <f t="array" ref="T75">[74]!POSIVOLCHANGEDAILY</f>
        <v>-2636</v>
      </c>
      <c r="U75" t="str" cm="1">
        <f t="array" ref="U75">[74]!INST_STATE</f>
        <v>连续交易</v>
      </c>
      <c r="V75" t="str" cm="1">
        <f t="array" ref="V75">[74]!UPDATETIME</f>
        <v>22:52:38.500</v>
      </c>
      <c r="W75" cm="1">
        <f t="array" ref="W75">[74]!UPPERLIMITPRICE</f>
        <v>39835</v>
      </c>
      <c r="X75" cm="1">
        <f t="array" ref="X75">[74]!LOWERLIMITPRICE</f>
        <v>33265</v>
      </c>
      <c r="Y75" t="e" cm="1">
        <f t="array" ref="Y75">[74]!CLOSEPRICE</f>
        <v>#N/A</v>
      </c>
      <c r="Z75" t="e" cm="1">
        <f t="array" ref="Z75">[74]!SETTLEPRICE</f>
        <v>#N/A</v>
      </c>
      <c r="AA75" cm="1">
        <f t="array" ref="AA75">[74]!PRECLOSE</f>
        <v>36310</v>
      </c>
      <c r="AB75" cm="1">
        <f t="array" ref="AB75">[74]!PRESETTLEPRICE</f>
        <v>36550</v>
      </c>
      <c r="AC75" t="s">
        <v>167</v>
      </c>
      <c r="AD75" t="s">
        <v>194</v>
      </c>
      <c r="AE75">
        <v>3</v>
      </c>
      <c r="AF75">
        <v>20260612</v>
      </c>
      <c r="AG75" t="e" cm="1">
        <f t="array" ref="AG75">[74]!MARGIN</f>
        <v>#N/A</v>
      </c>
      <c r="AH75" t="e" cm="1">
        <f t="array" ref="AH75">[74]!FEE</f>
        <v>#N/A</v>
      </c>
      <c r="AJ75" cm="1">
        <f t="array" ref="AJ75">[74]!IMPLYBIDVOLUME1</f>
        <v>0</v>
      </c>
      <c r="AK75" t="e" cm="1">
        <f t="array" ref="AK75">[74]!IMPLYBIDPRICE1</f>
        <v>#N/A</v>
      </c>
      <c r="AL75" t="e" cm="1">
        <f t="array" ref="AL75">[74]!IMPLYASKPRICE1</f>
        <v>#N/A</v>
      </c>
      <c r="AM75" cm="1">
        <f t="array" ref="AM75">[74]!IMPLYASKVOLUME1</f>
        <v>0</v>
      </c>
      <c r="AN75" cm="1">
        <f t="array" ref="AN75">[74]!VOLUMEBIDLOT</f>
        <v>0</v>
      </c>
      <c r="AO75" cm="1">
        <f t="array" ref="AO75">[74]!VOLUMEASKLOT</f>
        <v>0</v>
      </c>
    </row>
    <row r="76" spans="1:41" x14ac:dyDescent="0.25">
      <c r="A76" t="s">
        <v>195</v>
      </c>
      <c r="B76" t="s">
        <v>195</v>
      </c>
      <c r="C76" cm="1">
        <f t="array" ref="C76">[75]!NETVOLUME2200107473</f>
        <v>0</v>
      </c>
      <c r="D76" cm="1">
        <f t="array" ref="D76">[75]!LONGPOSITION2200107473</f>
        <v>0</v>
      </c>
      <c r="E76" cm="1">
        <f t="array" ref="E76">[75]!SHORTPOSITION2200107473</f>
        <v>0</v>
      </c>
      <c r="F76" cm="1">
        <f t="array" ref="F76">[75]!MTMPL2200107473</f>
        <v>0</v>
      </c>
      <c r="G76" cm="1">
        <f t="array" ref="G76">[75]!LASTPRICE</f>
        <v>480.55</v>
      </c>
      <c r="H76" cm="1">
        <f t="array" ref="H76">[75]!NETCHANGE</f>
        <v>-11.199999999999989</v>
      </c>
      <c r="I76" t="str" cm="1">
        <f t="array" ref="I76">[75]!NETCHANGERATE</f>
        <v>-2.28%</v>
      </c>
      <c r="J76" cm="1">
        <f t="array" ref="J76">[75]!BIDVOLUME1</f>
        <v>1</v>
      </c>
      <c r="K76" cm="1">
        <f t="array" ref="K76">[75]!BIDPRICE1</f>
        <v>480.5</v>
      </c>
      <c r="L76" cm="1">
        <f t="array" ref="L76">[75]!ASKPRICE1</f>
        <v>480.75</v>
      </c>
      <c r="M76" cm="1">
        <f t="array" ref="M76">[75]!ASKVOLUME1</f>
        <v>1</v>
      </c>
      <c r="N76" cm="1">
        <f t="array" ref="N76">[75]!OPENPRICE</f>
        <v>481</v>
      </c>
      <c r="O76" cm="1">
        <f t="array" ref="O76">[75]!HIGH</f>
        <v>485.6</v>
      </c>
      <c r="P76" cm="1">
        <f t="array" ref="P76">[75]!LOW</f>
        <v>474.35</v>
      </c>
      <c r="Q76" cm="1">
        <f t="array" ref="Q76">[75]!TRADEVOLUME</f>
        <v>3429</v>
      </c>
      <c r="R76" cm="1">
        <f t="array" ref="R76">[75]!POSIVOL</f>
        <v>8173</v>
      </c>
      <c r="S76" cm="1">
        <f t="array" ref="S76">[75]!POSIVOLCHANGE</f>
        <v>0</v>
      </c>
      <c r="T76" cm="1">
        <f t="array" ref="T76">[75]!POSIVOLCHANGEDAILY</f>
        <v>-331</v>
      </c>
      <c r="U76" t="str" cm="1">
        <f t="array" ref="U76">[75]!INST_STATE</f>
        <v>连续交易</v>
      </c>
      <c r="V76" t="str" cm="1">
        <f t="array" ref="V76">[75]!UPDATETIME</f>
        <v>22:52:35.500</v>
      </c>
      <c r="W76" cm="1">
        <f t="array" ref="W76">[75]!UPPERLIMITPRICE</f>
        <v>575.29999999999995</v>
      </c>
      <c r="X76" cm="1">
        <f t="array" ref="X76">[75]!LOWERLIMITPRICE</f>
        <v>408.2</v>
      </c>
      <c r="Y76" t="e" cm="1">
        <f t="array" ref="Y76">[75]!CLOSEPRICE</f>
        <v>#N/A</v>
      </c>
      <c r="Z76" t="e" cm="1">
        <f t="array" ref="Z76">[75]!SETTLEPRICE</f>
        <v>#N/A</v>
      </c>
      <c r="AA76" cm="1">
        <f t="array" ref="AA76">[75]!PRECLOSE</f>
        <v>492.45</v>
      </c>
      <c r="AB76" cm="1">
        <f t="array" ref="AB76">[75]!PRESETTLEPRICE</f>
        <v>491.75</v>
      </c>
      <c r="AC76" t="s">
        <v>167</v>
      </c>
      <c r="AD76" t="s">
        <v>196</v>
      </c>
      <c r="AE76">
        <v>1000</v>
      </c>
      <c r="AF76">
        <v>20260612</v>
      </c>
      <c r="AG76" t="e" cm="1">
        <f t="array" ref="AG76">[75]!MARGIN</f>
        <v>#N/A</v>
      </c>
      <c r="AH76" t="e" cm="1">
        <f t="array" ref="AH76">[75]!FEE</f>
        <v>#N/A</v>
      </c>
      <c r="AJ76" cm="1">
        <f t="array" ref="AJ76">[75]!IMPLYBIDVOLUME1</f>
        <v>0</v>
      </c>
      <c r="AK76" t="e" cm="1">
        <f t="array" ref="AK76">[75]!IMPLYBIDPRICE1</f>
        <v>#N/A</v>
      </c>
      <c r="AL76" t="e" cm="1">
        <f t="array" ref="AL76">[75]!IMPLYASKPRICE1</f>
        <v>#N/A</v>
      </c>
      <c r="AM76" cm="1">
        <f t="array" ref="AM76">[75]!IMPLYASKVOLUME1</f>
        <v>0</v>
      </c>
      <c r="AN76" cm="1">
        <f t="array" ref="AN76">[75]!VOLUMEBIDLOT</f>
        <v>0</v>
      </c>
      <c r="AO76" cm="1">
        <f t="array" ref="AO76">[75]!VOLUMEASKLOT</f>
        <v>0</v>
      </c>
    </row>
    <row r="77" spans="1:41" x14ac:dyDescent="0.25">
      <c r="A77" t="s">
        <v>197</v>
      </c>
      <c r="B77" t="s">
        <v>197</v>
      </c>
      <c r="C77" cm="1">
        <f t="array" ref="C77">[76]!NETVOLUME2200107473</f>
        <v>0</v>
      </c>
      <c r="D77" cm="1">
        <f t="array" ref="D77">[76]!LONGPOSITION2200107473</f>
        <v>0</v>
      </c>
      <c r="E77" cm="1">
        <f t="array" ref="E77">[76]!SHORTPOSITION2200107473</f>
        <v>0</v>
      </c>
      <c r="F77" cm="1">
        <f t="array" ref="F77">[76]!MTMPL2200107473</f>
        <v>0</v>
      </c>
      <c r="G77" cm="1">
        <f t="array" ref="G77">[76]!LASTPRICE</f>
        <v>3189</v>
      </c>
      <c r="H77" cm="1">
        <f t="array" ref="H77">[76]!NETCHANGE</f>
        <v>-8</v>
      </c>
      <c r="I77" t="str" cm="1">
        <f t="array" ref="I77">[76]!NETCHANGERATE</f>
        <v>-0.25%</v>
      </c>
      <c r="J77" cm="1">
        <f t="array" ref="J77">[76]!BIDVOLUME1</f>
        <v>26</v>
      </c>
      <c r="K77" cm="1">
        <f t="array" ref="K77">[76]!BIDPRICE1</f>
        <v>3189</v>
      </c>
      <c r="L77" cm="1">
        <f t="array" ref="L77">[76]!ASKPRICE1</f>
        <v>3190</v>
      </c>
      <c r="M77" cm="1">
        <f t="array" ref="M77">[76]!ASKVOLUME1</f>
        <v>6088</v>
      </c>
      <c r="N77" cm="1">
        <f t="array" ref="N77">[76]!OPENPRICE</f>
        <v>3205</v>
      </c>
      <c r="O77" cm="1">
        <f t="array" ref="O77">[76]!HIGH</f>
        <v>3206</v>
      </c>
      <c r="P77" cm="1">
        <f t="array" ref="P77">[76]!LOW</f>
        <v>3177</v>
      </c>
      <c r="Q77" cm="1">
        <f t="array" ref="Q77">[76]!TRADEVOLUME</f>
        <v>665323</v>
      </c>
      <c r="R77" cm="1">
        <f t="array" ref="R77">[76]!POSIVOL</f>
        <v>1851774</v>
      </c>
      <c r="S77" t="e" cm="1">
        <f t="array" ref="S77">[76]!POSIVOLCHANGE</f>
        <v>#N/A</v>
      </c>
      <c r="T77" cm="1">
        <f t="array" ref="T77">[76]!POSIVOLCHANGEDAILY</f>
        <v>-21857</v>
      </c>
      <c r="U77" t="str" cm="1">
        <f t="array" ref="U77">[76]!INST_STATE</f>
        <v>连续交易</v>
      </c>
      <c r="V77" t="str" cm="1">
        <f t="array" ref="V77">[76]!UPDATETIME</f>
        <v>22:00:47.000</v>
      </c>
      <c r="W77" cm="1">
        <f t="array" ref="W77">[76]!UPPERLIMITPRICE</f>
        <v>3356</v>
      </c>
      <c r="X77" cm="1">
        <f t="array" ref="X77">[76]!LOWERLIMITPRICE</f>
        <v>3037</v>
      </c>
      <c r="Y77" t="e" cm="1">
        <f t="array" ref="Y77">[76]!CLOSEPRICE</f>
        <v>#N/A</v>
      </c>
      <c r="Z77" t="e" cm="1">
        <f t="array" ref="Z77">[76]!SETTLEPRICE</f>
        <v>#N/A</v>
      </c>
      <c r="AA77" cm="1">
        <f t="array" ref="AA77">[76]!PRECLOSE</f>
        <v>3204</v>
      </c>
      <c r="AB77" cm="1">
        <f t="array" ref="AB77">[76]!PRESETTLEPRICE</f>
        <v>3197</v>
      </c>
      <c r="AC77" t="s">
        <v>115</v>
      </c>
      <c r="AD77" t="s">
        <v>198</v>
      </c>
      <c r="AE77">
        <v>10</v>
      </c>
      <c r="AF77">
        <v>20261015</v>
      </c>
      <c r="AG77" t="e" cm="1">
        <f t="array" ref="AG77">[76]!MARGIN</f>
        <v>#N/A</v>
      </c>
      <c r="AH77" t="e" cm="1">
        <f t="array" ref="AH77">[76]!FEE</f>
        <v>#N/A</v>
      </c>
      <c r="AJ77" cm="1">
        <f t="array" ref="AJ77">[76]!IMPLYBIDVOLUME1</f>
        <v>0</v>
      </c>
      <c r="AK77" t="e" cm="1">
        <f t="array" ref="AK77">[76]!IMPLYBIDPRICE1</f>
        <v>#N/A</v>
      </c>
      <c r="AL77" t="e" cm="1">
        <f t="array" ref="AL77">[76]!IMPLYASKPRICE1</f>
        <v>#N/A</v>
      </c>
      <c r="AM77" cm="1">
        <f t="array" ref="AM77">[76]!IMPLYASKVOLUME1</f>
        <v>0</v>
      </c>
      <c r="AN77" cm="1">
        <f t="array" ref="AN77">[76]!VOLUMEBIDLOT</f>
        <v>0</v>
      </c>
      <c r="AO77" cm="1">
        <f t="array" ref="AO77">[76]!VOLUMEASKLOT</f>
        <v>0</v>
      </c>
    </row>
    <row r="78" spans="1:41" x14ac:dyDescent="0.25">
      <c r="A78" t="s">
        <v>199</v>
      </c>
      <c r="B78" t="s">
        <v>199</v>
      </c>
      <c r="C78" cm="1">
        <f t="array" ref="C78">[77]!NETVOLUME2200107473</f>
        <v>0</v>
      </c>
      <c r="D78" cm="1">
        <f t="array" ref="D78">[77]!LONGPOSITION2200107473</f>
        <v>0</v>
      </c>
      <c r="E78" cm="1">
        <f t="array" ref="E78">[77]!SHORTPOSITION2200107473</f>
        <v>0</v>
      </c>
      <c r="F78" cm="1">
        <f t="array" ref="F78">[77]!MTMPL2200107473</f>
        <v>0</v>
      </c>
      <c r="G78" cm="1">
        <f t="array" ref="G78">[77]!LASTPRICE</f>
        <v>3544</v>
      </c>
      <c r="H78" cm="1">
        <f t="array" ref="H78">[77]!NETCHANGE</f>
        <v>0</v>
      </c>
      <c r="I78" t="str" cm="1">
        <f t="array" ref="I78">[77]!NETCHANGERATE</f>
        <v>0.00%</v>
      </c>
      <c r="J78" cm="1">
        <f t="array" ref="J78">[77]!BIDVOLUME1</f>
        <v>94</v>
      </c>
      <c r="K78" cm="1">
        <f t="array" ref="K78">[77]!BIDPRICE1</f>
        <v>3543</v>
      </c>
      <c r="L78" cm="1">
        <f t="array" ref="L78">[77]!ASKPRICE1</f>
        <v>3544</v>
      </c>
      <c r="M78" cm="1">
        <f t="array" ref="M78">[77]!ASKVOLUME1</f>
        <v>7</v>
      </c>
      <c r="N78" cm="1">
        <f t="array" ref="N78">[77]!OPENPRICE</f>
        <v>3543</v>
      </c>
      <c r="O78" cm="1">
        <f t="array" ref="O78">[77]!HIGH</f>
        <v>3546</v>
      </c>
      <c r="P78" cm="1">
        <f t="array" ref="P78">[77]!LOW</f>
        <v>3542</v>
      </c>
      <c r="Q78" cm="1">
        <f t="array" ref="Q78">[77]!TRADEVOLUME</f>
        <v>988</v>
      </c>
      <c r="R78" cm="1">
        <f t="array" ref="R78">[77]!POSIVOL</f>
        <v>27330</v>
      </c>
      <c r="S78" cm="1">
        <f t="array" ref="S78">[77]!POSIVOLCHANGE</f>
        <v>0</v>
      </c>
      <c r="T78" cm="1">
        <f t="array" ref="T78">[77]!POSIVOLCHANGEDAILY</f>
        <v>112</v>
      </c>
      <c r="U78" t="e" cm="1">
        <f t="array" ref="U78">[77]!INST_STATE</f>
        <v>#N/A</v>
      </c>
      <c r="V78" t="str" cm="1">
        <f t="array" ref="V78">[77]!UPDATETIME</f>
        <v>22:52:05.000</v>
      </c>
      <c r="W78" cm="1">
        <f t="array" ref="W78">[77]!UPPERLIMITPRICE</f>
        <v>3721</v>
      </c>
      <c r="X78" cm="1">
        <f t="array" ref="X78">[77]!LOWERLIMITPRICE</f>
        <v>3367</v>
      </c>
      <c r="Y78" t="e" cm="1">
        <f t="array" ref="Y78">[77]!CLOSEPRICE</f>
        <v>#N/A</v>
      </c>
      <c r="Z78" t="e" cm="1">
        <f t="array" ref="Z78">[77]!SETTLEPRICE</f>
        <v>#N/A</v>
      </c>
      <c r="AA78" cm="1">
        <f t="array" ref="AA78">[77]!PRECLOSE</f>
        <v>3543</v>
      </c>
      <c r="AB78" cm="1">
        <f t="array" ref="AB78">[77]!PRESETTLEPRICE</f>
        <v>3544</v>
      </c>
      <c r="AC78" t="s">
        <v>112</v>
      </c>
      <c r="AD78" t="s">
        <v>200</v>
      </c>
      <c r="AE78">
        <v>10</v>
      </c>
      <c r="AF78">
        <v>20260714</v>
      </c>
      <c r="AG78" t="e" cm="1">
        <f t="array" ref="AG78">[77]!MARGIN</f>
        <v>#N/A</v>
      </c>
      <c r="AH78" t="e" cm="1">
        <f t="array" ref="AH78">[77]!FEE</f>
        <v>#N/A</v>
      </c>
      <c r="AJ78" cm="1">
        <f t="array" ref="AJ78">[77]!IMPLYBIDVOLUME1</f>
        <v>0</v>
      </c>
      <c r="AK78" t="e" cm="1">
        <f t="array" ref="AK78">[77]!IMPLYBIDPRICE1</f>
        <v>#N/A</v>
      </c>
      <c r="AL78" t="e" cm="1">
        <f t="array" ref="AL78">[77]!IMPLYASKPRICE1</f>
        <v>#N/A</v>
      </c>
      <c r="AM78" cm="1">
        <f t="array" ref="AM78">[77]!IMPLYASKVOLUME1</f>
        <v>0</v>
      </c>
      <c r="AN78" cm="1">
        <f t="array" ref="AN78">[77]!VOLUMEBIDLOT</f>
        <v>0</v>
      </c>
      <c r="AO78" cm="1">
        <f t="array" ref="AO78">[77]!VOLUMEASKLOT</f>
        <v>0</v>
      </c>
    </row>
    <row r="79" spans="1:41" x14ac:dyDescent="0.25">
      <c r="A79" t="s">
        <v>201</v>
      </c>
      <c r="B79" t="s">
        <v>201</v>
      </c>
      <c r="C79" cm="1">
        <f t="array" ref="C79">[78]!NETVOLUME2200107473</f>
        <v>0</v>
      </c>
      <c r="D79" cm="1">
        <f t="array" ref="D79">[78]!LONGPOSITION2200107473</f>
        <v>0</v>
      </c>
      <c r="E79" cm="1">
        <f t="array" ref="E79">[78]!SHORTPOSITION2200107473</f>
        <v>0</v>
      </c>
      <c r="F79" cm="1">
        <f t="array" ref="F79">[78]!MTMPL2200107473</f>
        <v>0</v>
      </c>
      <c r="G79" cm="1">
        <f t="array" ref="G79">[78]!LASTPRICE</f>
        <v>17540</v>
      </c>
      <c r="H79" cm="1">
        <f t="array" ref="H79">[78]!NETCHANGE</f>
        <v>-155</v>
      </c>
      <c r="I79" t="str" cm="1">
        <f t="array" ref="I79">[78]!NETCHANGERATE</f>
        <v>-0.88%</v>
      </c>
      <c r="J79" cm="1">
        <f t="array" ref="J79">[78]!BIDVOLUME1</f>
        <v>2</v>
      </c>
      <c r="K79" cm="1">
        <f t="array" ref="K79">[78]!BIDPRICE1</f>
        <v>17540</v>
      </c>
      <c r="L79" cm="1">
        <f t="array" ref="L79">[78]!ASKPRICE1</f>
        <v>17545</v>
      </c>
      <c r="M79" cm="1">
        <f t="array" ref="M79">[78]!ASKVOLUME1</f>
        <v>33</v>
      </c>
      <c r="N79" cm="1">
        <f t="array" ref="N79">[78]!OPENPRICE</f>
        <v>17765</v>
      </c>
      <c r="O79" cm="1">
        <f t="array" ref="O79">[78]!HIGH</f>
        <v>17825</v>
      </c>
      <c r="P79" cm="1">
        <f t="array" ref="P79">[78]!LOW</f>
        <v>17270</v>
      </c>
      <c r="Q79" cm="1">
        <f t="array" ref="Q79">[78]!TRADEVOLUME</f>
        <v>390180</v>
      </c>
      <c r="R79" cm="1">
        <f t="array" ref="R79">[78]!POSIVOL</f>
        <v>182079</v>
      </c>
      <c r="S79" t="e" cm="1">
        <f t="array" ref="S79">[78]!POSIVOLCHANGE</f>
        <v>#N/A</v>
      </c>
      <c r="T79" cm="1">
        <f t="array" ref="T79">[78]!POSIVOLCHANGEDAILY</f>
        <v>-7654</v>
      </c>
      <c r="U79" t="str" cm="1">
        <f t="array" ref="U79">[78]!INST_STATE</f>
        <v>连续交易</v>
      </c>
      <c r="V79" t="str" cm="1">
        <f t="array" ref="V79">[78]!UPDATETIME</f>
        <v>22:00:47.000</v>
      </c>
      <c r="W79" cm="1">
        <f t="array" ref="W79">[78]!UPPERLIMITPRICE</f>
        <v>19285</v>
      </c>
      <c r="X79" cm="1">
        <f t="array" ref="X79">[78]!LOWERLIMITPRICE</f>
        <v>16100</v>
      </c>
      <c r="Y79" t="e" cm="1">
        <f t="array" ref="Y79">[78]!CLOSEPRICE</f>
        <v>#N/A</v>
      </c>
      <c r="Z79" t="e" cm="1">
        <f t="array" ref="Z79">[78]!SETTLEPRICE</f>
        <v>#N/A</v>
      </c>
      <c r="AA79" cm="1">
        <f t="array" ref="AA79">[78]!PRECLOSE</f>
        <v>17740</v>
      </c>
      <c r="AB79" cm="1">
        <f t="array" ref="AB79">[78]!PRESETTLEPRICE</f>
        <v>17695</v>
      </c>
      <c r="AC79" t="s">
        <v>115</v>
      </c>
      <c r="AD79" t="s">
        <v>202</v>
      </c>
      <c r="AE79">
        <v>10</v>
      </c>
      <c r="AF79">
        <v>20260915</v>
      </c>
      <c r="AG79" t="e" cm="1">
        <f t="array" ref="AG79">[78]!MARGIN</f>
        <v>#N/A</v>
      </c>
      <c r="AH79" t="e" cm="1">
        <f t="array" ref="AH79">[78]!FEE</f>
        <v>#N/A</v>
      </c>
      <c r="AJ79" cm="1">
        <f t="array" ref="AJ79">[78]!IMPLYBIDVOLUME1</f>
        <v>0</v>
      </c>
      <c r="AK79" t="e" cm="1">
        <f t="array" ref="AK79">[78]!IMPLYBIDPRICE1</f>
        <v>#N/A</v>
      </c>
      <c r="AL79" t="e" cm="1">
        <f t="array" ref="AL79">[78]!IMPLYASKPRICE1</f>
        <v>#N/A</v>
      </c>
      <c r="AM79" cm="1">
        <f t="array" ref="AM79">[78]!IMPLYASKVOLUME1</f>
        <v>0</v>
      </c>
      <c r="AN79" cm="1">
        <f t="array" ref="AN79">[78]!VOLUMEBIDLOT</f>
        <v>0</v>
      </c>
      <c r="AO79" cm="1">
        <f t="array" ref="AO79">[78]!VOLUMEASKLOT</f>
        <v>0</v>
      </c>
    </row>
    <row r="80" spans="1:41" x14ac:dyDescent="0.25">
      <c r="A80" t="s">
        <v>203</v>
      </c>
      <c r="B80" t="s">
        <v>203</v>
      </c>
      <c r="C80" cm="1">
        <f t="array" ref="C80">[79]!NETVOLUME2200107473</f>
        <v>0</v>
      </c>
      <c r="D80" cm="1">
        <f t="array" ref="D80">[79]!LONGPOSITION2200107473</f>
        <v>0</v>
      </c>
      <c r="E80" cm="1">
        <f t="array" ref="E80">[79]!SHORTPOSITION2200107473</f>
        <v>0</v>
      </c>
      <c r="F80" cm="1">
        <f t="array" ref="F80">[79]!MTMPL2200107473</f>
        <v>0</v>
      </c>
      <c r="G80" cm="1">
        <f t="array" ref="G80">[79]!LASTPRICE</f>
        <v>674</v>
      </c>
      <c r="H80" cm="1">
        <f t="array" ref="H80">[79]!NETCHANGE</f>
        <v>0.20000000000004547</v>
      </c>
      <c r="I80" t="str" cm="1">
        <f t="array" ref="I80">[79]!NETCHANGERATE</f>
        <v>+0.03%</v>
      </c>
      <c r="J80" cm="1">
        <f t="array" ref="J80">[79]!BIDVOLUME1</f>
        <v>2</v>
      </c>
      <c r="K80" cm="1">
        <f t="array" ref="K80">[79]!BIDPRICE1</f>
        <v>674</v>
      </c>
      <c r="L80" cm="1">
        <f t="array" ref="L80">[79]!ASKPRICE1</f>
        <v>674.1</v>
      </c>
      <c r="M80" cm="1">
        <f t="array" ref="M80">[79]!ASKVOLUME1</f>
        <v>1</v>
      </c>
      <c r="N80" cm="1">
        <f t="array" ref="N80">[79]!OPENPRICE</f>
        <v>681.1</v>
      </c>
      <c r="O80" cm="1">
        <f t="array" ref="O80">[79]!HIGH</f>
        <v>691.4</v>
      </c>
      <c r="P80" cm="1">
        <f t="array" ref="P80">[79]!LOW</f>
        <v>673.7</v>
      </c>
      <c r="Q80" cm="1">
        <f t="array" ref="Q80">[79]!TRADEVOLUME</f>
        <v>34146</v>
      </c>
      <c r="R80" cm="1">
        <f t="array" ref="R80">[79]!POSIVOL</f>
        <v>40340</v>
      </c>
      <c r="S80" cm="1">
        <f t="array" ref="S80">[79]!POSIVOLCHANGE</f>
        <v>0</v>
      </c>
      <c r="T80" cm="1">
        <f t="array" ref="T80">[79]!POSIVOLCHANGEDAILY</f>
        <v>21</v>
      </c>
      <c r="U80" t="str" cm="1">
        <f t="array" ref="U80">[79]!INST_STATE</f>
        <v>连续交易</v>
      </c>
      <c r="V80" t="str" cm="1">
        <f t="array" ref="V80">[79]!UPDATETIME</f>
        <v>22:52:40.500</v>
      </c>
      <c r="W80" cm="1">
        <f t="array" ref="W80">[79]!UPPERLIMITPRICE</f>
        <v>808.5</v>
      </c>
      <c r="X80" cm="1">
        <f t="array" ref="X80">[79]!LOWERLIMITPRICE</f>
        <v>539</v>
      </c>
      <c r="Y80" t="e" cm="1">
        <f t="array" ref="Y80">[79]!CLOSEPRICE</f>
        <v>#N/A</v>
      </c>
      <c r="Z80" t="e" cm="1">
        <f t="array" ref="Z80">[79]!SETTLEPRICE</f>
        <v>#N/A</v>
      </c>
      <c r="AA80" cm="1">
        <f t="array" ref="AA80">[79]!PRECLOSE</f>
        <v>681.1</v>
      </c>
      <c r="AB80" cm="1">
        <f t="array" ref="AB80">[79]!PRESETTLEPRICE</f>
        <v>673.8</v>
      </c>
      <c r="AC80" t="s">
        <v>130</v>
      </c>
      <c r="AD80" t="s">
        <v>204</v>
      </c>
      <c r="AE80">
        <v>1000</v>
      </c>
      <c r="AF80">
        <v>20260630</v>
      </c>
      <c r="AG80" t="e" cm="1">
        <f t="array" ref="AG80">[79]!MARGIN</f>
        <v>#N/A</v>
      </c>
      <c r="AH80" t="e" cm="1">
        <f t="array" ref="AH80">[79]!FEE</f>
        <v>#N/A</v>
      </c>
      <c r="AJ80" cm="1">
        <f t="array" ref="AJ80">[79]!IMPLYBIDVOLUME1</f>
        <v>0</v>
      </c>
      <c r="AK80" t="e" cm="1">
        <f t="array" ref="AK80">[79]!IMPLYBIDPRICE1</f>
        <v>#N/A</v>
      </c>
      <c r="AL80" t="e" cm="1">
        <f t="array" ref="AL80">[79]!IMPLYASKPRICE1</f>
        <v>#N/A</v>
      </c>
      <c r="AM80" cm="1">
        <f t="array" ref="AM80">[79]!IMPLYASKVOLUME1</f>
        <v>0</v>
      </c>
      <c r="AN80" cm="1">
        <f t="array" ref="AN80">[79]!VOLUMEBIDLOT</f>
        <v>0</v>
      </c>
      <c r="AO80" cm="1">
        <f t="array" ref="AO80">[79]!VOLUMEASKLOT</f>
        <v>0</v>
      </c>
    </row>
    <row r="81" spans="1:41" x14ac:dyDescent="0.25">
      <c r="A81" t="s">
        <v>205</v>
      </c>
      <c r="B81" t="s">
        <v>205</v>
      </c>
      <c r="C81" cm="1">
        <f t="array" ref="C81">[80]!NETVOLUME2200107473</f>
        <v>0</v>
      </c>
      <c r="D81" cm="1">
        <f t="array" ref="D81">[80]!LONGPOSITION2200107473</f>
        <v>0</v>
      </c>
      <c r="E81" cm="1">
        <f t="array" ref="E81">[80]!SHORTPOSITION2200107473</f>
        <v>0</v>
      </c>
      <c r="F81" cm="1">
        <f t="array" ref="F81">[80]!MTMPL2200107473</f>
        <v>0</v>
      </c>
      <c r="G81" cm="1">
        <f t="array" ref="G81">[80]!LASTPRICE</f>
        <v>8485</v>
      </c>
      <c r="H81" cm="1">
        <f t="array" ref="H81">[80]!NETCHANGE</f>
        <v>30</v>
      </c>
      <c r="I81" t="str" cm="1">
        <f t="array" ref="I81">[80]!NETCHANGERATE</f>
        <v>+0.35%</v>
      </c>
      <c r="J81" cm="1">
        <f t="array" ref="J81">[80]!BIDVOLUME1</f>
        <v>224</v>
      </c>
      <c r="K81" cm="1">
        <f t="array" ref="K81">[80]!BIDPRICE1</f>
        <v>8485</v>
      </c>
      <c r="L81" cm="1">
        <f t="array" ref="L81">[80]!ASKPRICE1</f>
        <v>8490</v>
      </c>
      <c r="M81" cm="1">
        <f t="array" ref="M81">[80]!ASKVOLUME1</f>
        <v>314</v>
      </c>
      <c r="N81" cm="1">
        <f t="array" ref="N81">[80]!OPENPRICE</f>
        <v>8435</v>
      </c>
      <c r="O81" cm="1">
        <f t="array" ref="O81">[80]!HIGH</f>
        <v>8525</v>
      </c>
      <c r="P81" cm="1">
        <f t="array" ref="P81">[80]!LOW</f>
        <v>8410</v>
      </c>
      <c r="Q81" cm="1">
        <f t="array" ref="Q81">[80]!TRADEVOLUME</f>
        <v>185313</v>
      </c>
      <c r="R81" cm="1">
        <f t="array" ref="R81">[80]!POSIVOL</f>
        <v>313862</v>
      </c>
      <c r="S81" cm="1">
        <f t="array" ref="S81">[80]!POSIVOLCHANGE</f>
        <v>0</v>
      </c>
      <c r="T81" cm="1">
        <f t="array" ref="T81">[80]!POSIVOLCHANGEDAILY</f>
        <v>7691</v>
      </c>
      <c r="U81" t="str" cm="1">
        <f t="array" ref="U81">[80]!INST_STATE</f>
        <v>连续交易</v>
      </c>
      <c r="V81" t="str" cm="1">
        <f t="array" ref="V81">[80]!UPDATETIME</f>
        <v>22:52:40.500</v>
      </c>
      <c r="W81" cm="1">
        <f t="array" ref="W81">[80]!UPPERLIMITPRICE</f>
        <v>9130</v>
      </c>
      <c r="X81" cm="1">
        <f t="array" ref="X81">[80]!LOWERLIMITPRICE</f>
        <v>7780</v>
      </c>
      <c r="Y81" t="e" cm="1">
        <f t="array" ref="Y81">[80]!CLOSEPRICE</f>
        <v>#N/A</v>
      </c>
      <c r="Z81" t="e" cm="1">
        <f t="array" ref="Z81">[80]!SETTLEPRICE</f>
        <v>#N/A</v>
      </c>
      <c r="AA81" cm="1">
        <f t="array" ref="AA81">[80]!PRECLOSE</f>
        <v>8450</v>
      </c>
      <c r="AB81" cm="1">
        <f t="array" ref="AB81">[80]!PRESETTLEPRICE</f>
        <v>8455</v>
      </c>
      <c r="AC81" t="s">
        <v>167</v>
      </c>
      <c r="AD81" t="s">
        <v>206</v>
      </c>
      <c r="AE81">
        <v>5</v>
      </c>
      <c r="AF81">
        <v>20260914</v>
      </c>
      <c r="AG81" t="e" cm="1">
        <f t="array" ref="AG81">[80]!MARGIN</f>
        <v>#N/A</v>
      </c>
      <c r="AH81" t="e" cm="1">
        <f t="array" ref="AH81">[80]!FEE</f>
        <v>#N/A</v>
      </c>
      <c r="AJ81" cm="1">
        <f t="array" ref="AJ81">[80]!IMPLYBIDVOLUME1</f>
        <v>0</v>
      </c>
      <c r="AK81" t="e" cm="1">
        <f t="array" ref="AK81">[80]!IMPLYBIDPRICE1</f>
        <v>#N/A</v>
      </c>
      <c r="AL81" t="e" cm="1">
        <f t="array" ref="AL81">[80]!IMPLYASKPRICE1</f>
        <v>#N/A</v>
      </c>
      <c r="AM81" cm="1">
        <f t="array" ref="AM81">[80]!IMPLYASKVOLUME1</f>
        <v>0</v>
      </c>
      <c r="AN81" cm="1">
        <f t="array" ref="AN81">[80]!VOLUMEBIDLOT</f>
        <v>0</v>
      </c>
      <c r="AO81" cm="1">
        <f t="array" ref="AO81">[80]!VOLUMEASKLOT</f>
        <v>0</v>
      </c>
    </row>
    <row r="82" spans="1:41" x14ac:dyDescent="0.25">
      <c r="A82" t="s">
        <v>207</v>
      </c>
      <c r="B82" t="s">
        <v>207</v>
      </c>
      <c r="C82" cm="1">
        <f t="array" ref="C82">[81]!NETVOLUME2200107473</f>
        <v>0</v>
      </c>
      <c r="D82" cm="1">
        <f t="array" ref="D82">[81]!LONGPOSITION2200107473</f>
        <v>0</v>
      </c>
      <c r="E82" cm="1">
        <f t="array" ref="E82">[81]!SHORTPOSITION2200107473</f>
        <v>0</v>
      </c>
      <c r="F82" cm="1">
        <f t="array" ref="F82">[81]!MTMPL2200107473</f>
        <v>0</v>
      </c>
      <c r="G82" cm="1">
        <f t="array" ref="G82">[81]!LASTPRICE</f>
        <v>417720</v>
      </c>
      <c r="H82" cm="1">
        <f t="array" ref="H82">[81]!NETCHANGE</f>
        <v>8380</v>
      </c>
      <c r="I82" t="str" cm="1">
        <f t="array" ref="I82">[81]!NETCHANGERATE</f>
        <v>+2.05%</v>
      </c>
      <c r="J82" cm="1">
        <f t="array" ref="J82">[81]!BIDVOLUME1</f>
        <v>2</v>
      </c>
      <c r="K82" cm="1">
        <f t="array" ref="K82">[81]!BIDPRICE1</f>
        <v>417700</v>
      </c>
      <c r="L82" cm="1">
        <f t="array" ref="L82">[81]!ASKPRICE1</f>
        <v>417790</v>
      </c>
      <c r="M82" cm="1">
        <f t="array" ref="M82">[81]!ASKVOLUME1</f>
        <v>9</v>
      </c>
      <c r="N82" cm="1">
        <f t="array" ref="N82">[81]!OPENPRICE</f>
        <v>410880</v>
      </c>
      <c r="O82" cm="1">
        <f t="array" ref="O82">[81]!HIGH</f>
        <v>417880</v>
      </c>
      <c r="P82" cm="1">
        <f t="array" ref="P82">[81]!LOW</f>
        <v>400300</v>
      </c>
      <c r="Q82" cm="1">
        <f t="array" ref="Q82">[81]!TRADEVOLUME</f>
        <v>233753</v>
      </c>
      <c r="R82" cm="1">
        <f t="array" ref="R82">[81]!POSIVOL</f>
        <v>31249</v>
      </c>
      <c r="S82" t="e" cm="1">
        <f t="array" ref="S82">[81]!POSIVOLCHANGE</f>
        <v>#N/A</v>
      </c>
      <c r="T82" cm="1">
        <f t="array" ref="T82">[81]!POSIVOLCHANGEDAILY</f>
        <v>-1523</v>
      </c>
      <c r="U82" t="str" cm="1">
        <f t="array" ref="U82">[81]!INST_STATE</f>
        <v>连续交易</v>
      </c>
      <c r="V82" t="str" cm="1">
        <f t="array" ref="V82">[81]!UPDATETIME</f>
        <v>22:00:47.000</v>
      </c>
      <c r="W82" cm="1">
        <f t="array" ref="W82">[81]!UPPERLIMITPRICE</f>
        <v>458460</v>
      </c>
      <c r="X82" cm="1">
        <f t="array" ref="X82">[81]!LOWERLIMITPRICE</f>
        <v>360210</v>
      </c>
      <c r="Y82" t="e" cm="1">
        <f t="array" ref="Y82">[81]!CLOSEPRICE</f>
        <v>#N/A</v>
      </c>
      <c r="Z82" t="e" cm="1">
        <f t="array" ref="Z82">[81]!SETTLEPRICE</f>
        <v>#N/A</v>
      </c>
      <c r="AA82" cm="1">
        <f t="array" ref="AA82">[81]!PRECLOSE</f>
        <v>409640</v>
      </c>
      <c r="AB82" cm="1">
        <f t="array" ref="AB82">[81]!PRESETTLEPRICE</f>
        <v>409340</v>
      </c>
      <c r="AC82" t="s">
        <v>115</v>
      </c>
      <c r="AD82" t="s">
        <v>208</v>
      </c>
      <c r="AE82">
        <v>1</v>
      </c>
      <c r="AF82">
        <v>20260615</v>
      </c>
      <c r="AG82" t="e" cm="1">
        <f t="array" ref="AG82">[81]!MARGIN</f>
        <v>#N/A</v>
      </c>
      <c r="AH82" t="e" cm="1">
        <f t="array" ref="AH82">[81]!FEE</f>
        <v>#N/A</v>
      </c>
      <c r="AJ82" cm="1">
        <f t="array" ref="AJ82">[81]!IMPLYBIDVOLUME1</f>
        <v>0</v>
      </c>
      <c r="AK82" t="e" cm="1">
        <f t="array" ref="AK82">[81]!IMPLYBIDPRICE1</f>
        <v>#N/A</v>
      </c>
      <c r="AL82" t="e" cm="1">
        <f t="array" ref="AL82">[81]!IMPLYASKPRICE1</f>
        <v>#N/A</v>
      </c>
      <c r="AM82" cm="1">
        <f t="array" ref="AM82">[81]!IMPLYASKVOLUME1</f>
        <v>0</v>
      </c>
      <c r="AN82" cm="1">
        <f t="array" ref="AN82">[81]!VOLUMEBIDLOT</f>
        <v>0</v>
      </c>
      <c r="AO82" cm="1">
        <f t="array" ref="AO82">[81]!VOLUMEASKLOT</f>
        <v>0</v>
      </c>
    </row>
    <row r="83" spans="1:41" x14ac:dyDescent="0.25">
      <c r="A83" t="s">
        <v>209</v>
      </c>
      <c r="B83" t="s">
        <v>209</v>
      </c>
      <c r="C83" cm="1">
        <f t="array" ref="C83">[82]!NETVOLUME2200107473</f>
        <v>0</v>
      </c>
      <c r="D83" cm="1">
        <f t="array" ref="D83">[82]!LONGPOSITION2200107473</f>
        <v>0</v>
      </c>
      <c r="E83" cm="1">
        <f t="array" ref="E83">[82]!SHORTPOSITION2200107473</f>
        <v>0</v>
      </c>
      <c r="F83" cm="1">
        <f t="array" ref="F83">[82]!MTMPL2200107473</f>
        <v>0</v>
      </c>
      <c r="G83" cm="1">
        <f t="array" ref="G83">[82]!LASTPRICE</f>
        <v>4996</v>
      </c>
      <c r="H83" cm="1">
        <f t="array" ref="H83">[82]!NETCHANGE</f>
        <v>-58</v>
      </c>
      <c r="I83" t="str" cm="1">
        <f t="array" ref="I83">[82]!NETCHANGERATE</f>
        <v>-1.15%</v>
      </c>
      <c r="J83" cm="1">
        <f t="array" ref="J83">[82]!BIDVOLUME1</f>
        <v>102</v>
      </c>
      <c r="K83" cm="1">
        <f t="array" ref="K83">[82]!BIDPRICE1</f>
        <v>4994</v>
      </c>
      <c r="L83" cm="1">
        <f t="array" ref="L83">[82]!ASKPRICE1</f>
        <v>4996</v>
      </c>
      <c r="M83" cm="1">
        <f t="array" ref="M83">[82]!ASKVOLUME1</f>
        <v>79</v>
      </c>
      <c r="N83" cm="1">
        <f t="array" ref="N83">[82]!OPENPRICE</f>
        <v>5064</v>
      </c>
      <c r="O83" cm="1">
        <f t="array" ref="O83">[82]!HIGH</f>
        <v>5080</v>
      </c>
      <c r="P83" cm="1">
        <f t="array" ref="P83">[82]!LOW</f>
        <v>4988</v>
      </c>
      <c r="Q83" cm="1">
        <f t="array" ref="Q83">[82]!TRADEVOLUME</f>
        <v>343740</v>
      </c>
      <c r="R83" cm="1">
        <f t="array" ref="R83">[82]!POSIVOL</f>
        <v>318458</v>
      </c>
      <c r="S83" t="e" cm="1">
        <f t="array" ref="S83">[82]!POSIVOLCHANGE</f>
        <v>#N/A</v>
      </c>
      <c r="T83" cm="1">
        <f t="array" ref="T83">[82]!POSIVOLCHANGEDAILY</f>
        <v>39622</v>
      </c>
      <c r="U83" t="str" cm="1">
        <f t="array" ref="U83">[82]!INST_STATE</f>
        <v>连续交易</v>
      </c>
      <c r="V83" t="str" cm="1">
        <f t="array" ref="V83">[82]!UPDATETIME</f>
        <v>22:00:47.000</v>
      </c>
      <c r="W83" cm="1">
        <f t="array" ref="W83">[82]!UPPERLIMITPRICE</f>
        <v>5406</v>
      </c>
      <c r="X83" cm="1">
        <f t="array" ref="X83">[82]!LOWERLIMITPRICE</f>
        <v>4700</v>
      </c>
      <c r="Y83" t="e" cm="1">
        <f t="array" ref="Y83">[82]!CLOSEPRICE</f>
        <v>#N/A</v>
      </c>
      <c r="Z83" t="e" cm="1">
        <f t="array" ref="Z83">[82]!SETTLEPRICE</f>
        <v>#N/A</v>
      </c>
      <c r="AA83" cm="1">
        <f t="array" ref="AA83">[82]!PRECLOSE</f>
        <v>5060</v>
      </c>
      <c r="AB83" cm="1">
        <f t="array" ref="AB83">[82]!PRESETTLEPRICE</f>
        <v>5054</v>
      </c>
      <c r="AC83" t="s">
        <v>115</v>
      </c>
      <c r="AD83" t="s">
        <v>210</v>
      </c>
      <c r="AE83">
        <v>10</v>
      </c>
      <c r="AF83">
        <v>20260915</v>
      </c>
      <c r="AG83" t="e" cm="1">
        <f t="array" ref="AG83">[82]!MARGIN</f>
        <v>#N/A</v>
      </c>
      <c r="AH83" t="e" cm="1">
        <f t="array" ref="AH83">[82]!FEE</f>
        <v>#N/A</v>
      </c>
      <c r="AJ83" cm="1">
        <f t="array" ref="AJ83">[82]!IMPLYBIDVOLUME1</f>
        <v>0</v>
      </c>
      <c r="AK83" t="e" cm="1">
        <f t="array" ref="AK83">[82]!IMPLYBIDPRICE1</f>
        <v>#N/A</v>
      </c>
      <c r="AL83" t="e" cm="1">
        <f t="array" ref="AL83">[82]!IMPLYASKPRICE1</f>
        <v>#N/A</v>
      </c>
      <c r="AM83" cm="1">
        <f t="array" ref="AM83">[82]!IMPLYASKVOLUME1</f>
        <v>0</v>
      </c>
      <c r="AN83" cm="1">
        <f t="array" ref="AN83">[82]!VOLUMEBIDLOT</f>
        <v>0</v>
      </c>
      <c r="AO83" cm="1">
        <f t="array" ref="AO83">[82]!VOLUMEASKLOT</f>
        <v>0</v>
      </c>
    </row>
    <row r="84" spans="1:41" x14ac:dyDescent="0.25">
      <c r="A84" t="s">
        <v>211</v>
      </c>
      <c r="B84" t="s">
        <v>211</v>
      </c>
      <c r="C84" cm="1">
        <f t="array" ref="C84">[83]!NETVOLUME2200107473</f>
        <v>0</v>
      </c>
      <c r="D84" cm="1">
        <f t="array" ref="D84">[83]!LONGPOSITION2200107473</f>
        <v>0</v>
      </c>
      <c r="E84" cm="1">
        <f t="array" ref="E84">[83]!SHORTPOSITION2200107473</f>
        <v>0</v>
      </c>
      <c r="F84" cm="1">
        <f t="array" ref="F84">[83]!MTMPL2200107473</f>
        <v>0</v>
      </c>
      <c r="G84" cm="1">
        <f t="array" ref="G84">[83]!LASTPRICE</f>
        <v>14900</v>
      </c>
      <c r="H84" cm="1">
        <f t="array" ref="H84">[83]!NETCHANGE</f>
        <v>230</v>
      </c>
      <c r="I84" t="str" cm="1">
        <f t="array" ref="I84">[83]!NETCHANGERATE</f>
        <v>+1.57%</v>
      </c>
      <c r="J84" cm="1">
        <f t="array" ref="J84">[83]!BIDVOLUME1</f>
        <v>127</v>
      </c>
      <c r="K84" cm="1">
        <f t="array" ref="K84">[83]!BIDPRICE1</f>
        <v>14900</v>
      </c>
      <c r="L84" cm="1">
        <f t="array" ref="L84">[83]!ASKPRICE1</f>
        <v>14905</v>
      </c>
      <c r="M84" cm="1">
        <f t="array" ref="M84">[83]!ASKVOLUME1</f>
        <v>80</v>
      </c>
      <c r="N84" cm="1">
        <f t="array" ref="N84">[83]!OPENPRICE</f>
        <v>14790</v>
      </c>
      <c r="O84" cm="1">
        <f t="array" ref="O84">[83]!HIGH</f>
        <v>14930</v>
      </c>
      <c r="P84" cm="1">
        <f t="array" ref="P84">[83]!LOW</f>
        <v>14635</v>
      </c>
      <c r="Q84" cm="1">
        <f t="array" ref="Q84">[83]!TRADEVOLUME</f>
        <v>186653</v>
      </c>
      <c r="R84" cm="1">
        <f t="array" ref="R84">[83]!POSIVOL</f>
        <v>121596</v>
      </c>
      <c r="S84" t="e" cm="1">
        <f t="array" ref="S84">[83]!POSIVOLCHANGE</f>
        <v>#N/A</v>
      </c>
      <c r="T84" cm="1">
        <f t="array" ref="T84">[83]!POSIVOLCHANGEDAILY</f>
        <v>2722</v>
      </c>
      <c r="U84" t="str" cm="1">
        <f t="array" ref="U84">[83]!INST_STATE</f>
        <v>连续交易</v>
      </c>
      <c r="V84" t="str" cm="1">
        <f t="array" ref="V84">[83]!UPDATETIME</f>
        <v>22:00:47.000</v>
      </c>
      <c r="W84" cm="1">
        <f t="array" ref="W84">[83]!UPPERLIMITPRICE</f>
        <v>15550</v>
      </c>
      <c r="X84" cm="1">
        <f t="array" ref="X84">[83]!LOWERLIMITPRICE</f>
        <v>13785</v>
      </c>
      <c r="Y84" t="e" cm="1">
        <f t="array" ref="Y84">[83]!CLOSEPRICE</f>
        <v>#N/A</v>
      </c>
      <c r="Z84" t="e" cm="1">
        <f t="array" ref="Z84">[83]!SETTLEPRICE</f>
        <v>#N/A</v>
      </c>
      <c r="AA84" cm="1">
        <f t="array" ref="AA84">[83]!PRECLOSE</f>
        <v>14775</v>
      </c>
      <c r="AB84" cm="1">
        <f t="array" ref="AB84">[83]!PRESETTLEPRICE</f>
        <v>14670</v>
      </c>
      <c r="AC84" t="s">
        <v>115</v>
      </c>
      <c r="AD84" t="s">
        <v>212</v>
      </c>
      <c r="AE84">
        <v>5</v>
      </c>
      <c r="AF84">
        <v>20260715</v>
      </c>
      <c r="AG84" t="e" cm="1">
        <f t="array" ref="AG84">[83]!MARGIN</f>
        <v>#N/A</v>
      </c>
      <c r="AH84" t="e" cm="1">
        <f t="array" ref="AH84">[83]!FEE</f>
        <v>#N/A</v>
      </c>
      <c r="AJ84" cm="1">
        <f t="array" ref="AJ84">[83]!IMPLYBIDVOLUME1</f>
        <v>0</v>
      </c>
      <c r="AK84" t="e" cm="1">
        <f t="array" ref="AK84">[83]!IMPLYBIDPRICE1</f>
        <v>#N/A</v>
      </c>
      <c r="AL84" t="e" cm="1">
        <f t="array" ref="AL84">[83]!IMPLYASKPRICE1</f>
        <v>#N/A</v>
      </c>
      <c r="AM84" cm="1">
        <f t="array" ref="AM84">[83]!IMPLYASKVOLUME1</f>
        <v>0</v>
      </c>
      <c r="AN84" cm="1">
        <f t="array" ref="AN84">[83]!VOLUMEBIDLOT</f>
        <v>0</v>
      </c>
      <c r="AO84" cm="1">
        <f t="array" ref="AO84">[83]!VOLUMEASKLOT</f>
        <v>0</v>
      </c>
    </row>
    <row r="85" spans="1:41" x14ac:dyDescent="0.25">
      <c r="A85" t="s">
        <v>213</v>
      </c>
      <c r="B85" t="s">
        <v>213</v>
      </c>
      <c r="C85" cm="1">
        <f t="array" ref="C85">[84]!NETVOLUME2200107473</f>
        <v>0</v>
      </c>
      <c r="D85" cm="1">
        <f t="array" ref="D85">[84]!LONGPOSITION2200107473</f>
        <v>0</v>
      </c>
      <c r="E85" cm="1">
        <f t="array" ref="E85">[84]!SHORTPOSITION2200107473</f>
        <v>0</v>
      </c>
      <c r="F85" cm="1">
        <f t="array" ref="F85">[84]!MTMPL2200107473</f>
        <v>0</v>
      </c>
      <c r="G85" cm="1">
        <f t="array" ref="G85">[84]!LASTPRICE</f>
        <v>4954</v>
      </c>
      <c r="H85" cm="1">
        <f t="array" ref="H85">[84]!NETCHANGE</f>
        <v>-94</v>
      </c>
      <c r="I85" t="str" cm="1">
        <f t="array" ref="I85">[84]!NETCHANGERATE</f>
        <v>-1.86%</v>
      </c>
      <c r="J85" cm="1">
        <f t="array" ref="J85">[84]!BIDVOLUME1</f>
        <v>183</v>
      </c>
      <c r="K85" cm="1">
        <f t="array" ref="K85">[84]!BIDPRICE1</f>
        <v>4954</v>
      </c>
      <c r="L85" cm="1">
        <f t="array" ref="L85">[84]!ASKPRICE1</f>
        <v>4955</v>
      </c>
      <c r="M85" cm="1">
        <f t="array" ref="M85">[84]!ASKVOLUME1</f>
        <v>210</v>
      </c>
      <c r="N85" cm="1">
        <f t="array" ref="N85">[84]!OPENPRICE</f>
        <v>5048</v>
      </c>
      <c r="O85" cm="1">
        <f t="array" ref="O85">[84]!HIGH</f>
        <v>5069</v>
      </c>
      <c r="P85" cm="1">
        <f t="array" ref="P85">[84]!LOW</f>
        <v>4939</v>
      </c>
      <c r="Q85" cm="1">
        <f t="array" ref="Q85">[84]!TRADEVOLUME</f>
        <v>1172841</v>
      </c>
      <c r="R85" cm="1">
        <f t="array" ref="R85">[84]!POSIVOL</f>
        <v>1083988</v>
      </c>
      <c r="S85" cm="1">
        <f t="array" ref="S85">[84]!POSIVOLCHANGE</f>
        <v>-1</v>
      </c>
      <c r="T85" cm="1">
        <f t="array" ref="T85">[84]!POSIVOLCHANGEDAILY</f>
        <v>56274</v>
      </c>
      <c r="U85" t="str" cm="1">
        <f t="array" ref="U85">[84]!INST_STATE</f>
        <v>连续交易</v>
      </c>
      <c r="V85" t="str" cm="1">
        <f t="array" ref="V85">[84]!UPDATETIME</f>
        <v>22:52:40.500</v>
      </c>
      <c r="W85" cm="1">
        <f t="array" ref="W85">[84]!UPPERLIMITPRICE</f>
        <v>5502</v>
      </c>
      <c r="X85" cm="1">
        <f t="array" ref="X85">[84]!LOWERLIMITPRICE</f>
        <v>4594</v>
      </c>
      <c r="Y85" t="e" cm="1">
        <f t="array" ref="Y85">[84]!CLOSEPRICE</f>
        <v>#N/A</v>
      </c>
      <c r="Z85" t="e" cm="1">
        <f t="array" ref="Z85">[84]!SETTLEPRICE</f>
        <v>#N/A</v>
      </c>
      <c r="AA85" cm="1">
        <f t="array" ref="AA85">[84]!PRECLOSE</f>
        <v>5050</v>
      </c>
      <c r="AB85" cm="1">
        <f t="array" ref="AB85">[84]!PRESETTLEPRICE</f>
        <v>5048</v>
      </c>
      <c r="AC85" t="s">
        <v>112</v>
      </c>
      <c r="AD85" t="s">
        <v>214</v>
      </c>
      <c r="AE85">
        <v>5</v>
      </c>
      <c r="AF85">
        <v>20260914</v>
      </c>
      <c r="AG85" t="e" cm="1">
        <f t="array" ref="AG85">[84]!MARGIN</f>
        <v>#N/A</v>
      </c>
      <c r="AH85" t="e" cm="1">
        <f t="array" ref="AH85">[84]!FEE</f>
        <v>#N/A</v>
      </c>
      <c r="AJ85" cm="1">
        <f t="array" ref="AJ85">[84]!IMPLYBIDVOLUME1</f>
        <v>0</v>
      </c>
      <c r="AK85" t="e" cm="1">
        <f t="array" ref="AK85">[84]!IMPLYBIDPRICE1</f>
        <v>#N/A</v>
      </c>
      <c r="AL85" t="e" cm="1">
        <f t="array" ref="AL85">[84]!IMPLYASKPRICE1</f>
        <v>#N/A</v>
      </c>
      <c r="AM85" cm="1">
        <f t="array" ref="AM85">[84]!IMPLYASKVOLUME1</f>
        <v>0</v>
      </c>
      <c r="AN85" cm="1">
        <f t="array" ref="AN85">[84]!VOLUMEBIDLOT</f>
        <v>0</v>
      </c>
      <c r="AO85" cm="1">
        <f t="array" ref="AO85">[84]!VOLUMEASKLOT</f>
        <v>0</v>
      </c>
    </row>
    <row r="86" spans="1:41" x14ac:dyDescent="0.25">
      <c r="A86" t="s">
        <v>215</v>
      </c>
      <c r="B86" t="s">
        <v>215</v>
      </c>
      <c r="C86" cm="1">
        <f t="array" ref="C86">[85]!NETVOLUME2200107473</f>
        <v>0</v>
      </c>
      <c r="D86" cm="1">
        <f t="array" ref="D86">[85]!LONGPOSITION2200107473</f>
        <v>0</v>
      </c>
      <c r="E86" cm="1">
        <f t="array" ref="E86">[85]!SHORTPOSITION2200107473</f>
        <v>0</v>
      </c>
      <c r="F86" cm="1">
        <f t="array" ref="F86">[85]!MTMPL2200107473</f>
        <v>0</v>
      </c>
      <c r="G86" cm="1">
        <f t="array" ref="G86">[85]!LASTPRICE</f>
        <v>3349</v>
      </c>
      <c r="H86" cm="1">
        <f t="array" ref="H86">[85]!NETCHANGE</f>
        <v>5</v>
      </c>
      <c r="I86" t="str" cm="1">
        <f t="array" ref="I86">[85]!NETCHANGERATE</f>
        <v>+0.15%</v>
      </c>
      <c r="J86" cm="1">
        <f t="array" ref="J86">[85]!BIDVOLUME1</f>
        <v>1</v>
      </c>
      <c r="K86" cm="1">
        <f t="array" ref="K86">[85]!BIDPRICE1</f>
        <v>3346</v>
      </c>
      <c r="L86" cm="1">
        <f t="array" ref="L86">[85]!ASKPRICE1</f>
        <v>3367</v>
      </c>
      <c r="M86" cm="1">
        <f t="array" ref="M86">[85]!ASKVOLUME1</f>
        <v>1</v>
      </c>
      <c r="N86" cm="1">
        <f t="array" ref="N86">[85]!OPENPRICE</f>
        <v>3352</v>
      </c>
      <c r="O86" cm="1">
        <f t="array" ref="O86">[85]!HIGH</f>
        <v>3374</v>
      </c>
      <c r="P86" cm="1">
        <f t="array" ref="P86">[85]!LOW</f>
        <v>3345</v>
      </c>
      <c r="Q86" cm="1">
        <f t="array" ref="Q86">[85]!TRADEVOLUME</f>
        <v>36</v>
      </c>
      <c r="R86" cm="1">
        <f t="array" ref="R86">[85]!POSIVOL</f>
        <v>61</v>
      </c>
      <c r="S86" t="e" cm="1">
        <f t="array" ref="S86">[85]!POSIVOLCHANGE</f>
        <v>#N/A</v>
      </c>
      <c r="T86" cm="1">
        <f t="array" ref="T86">[85]!POSIVOLCHANGEDAILY</f>
        <v>3</v>
      </c>
      <c r="U86" t="str" cm="1">
        <f t="array" ref="U86">[85]!INST_STATE</f>
        <v>连续交易</v>
      </c>
      <c r="V86" t="str" cm="1">
        <f t="array" ref="V86">[85]!UPDATETIME</f>
        <v>22:00:15.000</v>
      </c>
      <c r="W86" cm="1">
        <f t="array" ref="W86">[85]!UPPERLIMITPRICE</f>
        <v>3611</v>
      </c>
      <c r="X86" cm="1">
        <f t="array" ref="X86">[85]!LOWERLIMITPRICE</f>
        <v>3076</v>
      </c>
      <c r="Y86" t="e" cm="1">
        <f t="array" ref="Y86">[85]!CLOSEPRICE</f>
        <v>#N/A</v>
      </c>
      <c r="Z86" t="e" cm="1">
        <f t="array" ref="Z86">[85]!SETTLEPRICE</f>
        <v>#N/A</v>
      </c>
      <c r="AA86" cm="1">
        <f t="array" ref="AA86">[85]!PRECLOSE</f>
        <v>3349</v>
      </c>
      <c r="AB86" cm="1">
        <f t="array" ref="AB86">[85]!PRESETTLEPRICE</f>
        <v>3344</v>
      </c>
      <c r="AC86" t="s">
        <v>115</v>
      </c>
      <c r="AD86" t="s">
        <v>216</v>
      </c>
      <c r="AE86">
        <v>10</v>
      </c>
      <c r="AF86">
        <v>20260715</v>
      </c>
      <c r="AG86" t="e" cm="1">
        <f t="array" ref="AG86">[85]!MARGIN</f>
        <v>#N/A</v>
      </c>
      <c r="AH86" t="e" cm="1">
        <f t="array" ref="AH86">[85]!FEE</f>
        <v>#N/A</v>
      </c>
      <c r="AJ86" cm="1">
        <f t="array" ref="AJ86">[85]!IMPLYBIDVOLUME1</f>
        <v>0</v>
      </c>
      <c r="AK86" t="e" cm="1">
        <f t="array" ref="AK86">[85]!IMPLYBIDPRICE1</f>
        <v>#N/A</v>
      </c>
      <c r="AL86" t="e" cm="1">
        <f t="array" ref="AL86">[85]!IMPLYASKPRICE1</f>
        <v>#N/A</v>
      </c>
      <c r="AM86" cm="1">
        <f t="array" ref="AM86">[85]!IMPLYASKVOLUME1</f>
        <v>0</v>
      </c>
      <c r="AN86" cm="1">
        <f t="array" ref="AN86">[85]!VOLUMEBIDLOT</f>
        <v>0</v>
      </c>
      <c r="AO86" cm="1">
        <f t="array" ref="AO86">[85]!VOLUMEASKLOT</f>
        <v>0</v>
      </c>
    </row>
    <row r="87" spans="1:41" x14ac:dyDescent="0.25">
      <c r="A87" t="s">
        <v>217</v>
      </c>
      <c r="B87" t="s">
        <v>217</v>
      </c>
      <c r="C87" cm="1">
        <f t="array" ref="C87">[86]!NETVOLUME2200107473</f>
        <v>0</v>
      </c>
      <c r="D87" cm="1">
        <f t="array" ref="D87">[86]!LONGPOSITION2200107473</f>
        <v>0</v>
      </c>
      <c r="E87" cm="1">
        <f t="array" ref="E87">[86]!SHORTPOSITION2200107473</f>
        <v>0</v>
      </c>
      <c r="F87" cm="1">
        <f t="array" ref="F87">[86]!MTMPL2200107473</f>
        <v>0</v>
      </c>
      <c r="G87" cm="1">
        <f t="array" ref="G87">[86]!LASTPRICE</f>
        <v>8654</v>
      </c>
      <c r="H87" cm="1">
        <f t="array" ref="H87">[86]!NETCHANGE</f>
        <v>130</v>
      </c>
      <c r="I87" t="str" cm="1">
        <f t="array" ref="I87">[86]!NETCHANGERATE</f>
        <v>+1.53%</v>
      </c>
      <c r="J87" cm="1">
        <f t="array" ref="J87">[86]!BIDVOLUME1</f>
        <v>14</v>
      </c>
      <c r="K87" cm="1">
        <f t="array" ref="K87">[86]!BIDPRICE1</f>
        <v>8653</v>
      </c>
      <c r="L87" cm="1">
        <f t="array" ref="L87">[86]!ASKPRICE1</f>
        <v>8654</v>
      </c>
      <c r="M87" cm="1">
        <f t="array" ref="M87">[86]!ASKVOLUME1</f>
        <v>76</v>
      </c>
      <c r="N87" cm="1">
        <f t="array" ref="N87">[86]!OPENPRICE</f>
        <v>8600</v>
      </c>
      <c r="O87" cm="1">
        <f t="array" ref="O87">[86]!HIGH</f>
        <v>8682</v>
      </c>
      <c r="P87" cm="1">
        <f t="array" ref="P87">[86]!LOW</f>
        <v>8559</v>
      </c>
      <c r="Q87" cm="1">
        <f t="array" ref="Q87">[86]!TRADEVOLUME</f>
        <v>352912</v>
      </c>
      <c r="R87" cm="1">
        <f t="array" ref="R87">[86]!POSIVOL</f>
        <v>696249</v>
      </c>
      <c r="S87" cm="1">
        <f t="array" ref="S87">[86]!POSIVOLCHANGE</f>
        <v>0</v>
      </c>
      <c r="T87" cm="1">
        <f t="array" ref="T87">[86]!POSIVOLCHANGEDAILY</f>
        <v>6254</v>
      </c>
      <c r="U87" t="str" cm="1">
        <f t="array" ref="U87">[86]!INST_STATE</f>
        <v>连续交易</v>
      </c>
      <c r="V87" t="str" cm="1">
        <f t="array" ref="V87">[86]!UPDATETIME</f>
        <v>22:52:40.500</v>
      </c>
      <c r="W87" cm="1">
        <f t="array" ref="W87">[86]!UPPERLIMITPRICE</f>
        <v>9035</v>
      </c>
      <c r="X87" cm="1">
        <f t="array" ref="X87">[86]!LOWERLIMITPRICE</f>
        <v>8013</v>
      </c>
      <c r="Y87" t="e" cm="1">
        <f t="array" ref="Y87">[86]!CLOSEPRICE</f>
        <v>#N/A</v>
      </c>
      <c r="Z87" t="e" cm="1">
        <f t="array" ref="Z87">[86]!SETTLEPRICE</f>
        <v>#N/A</v>
      </c>
      <c r="AA87" cm="1">
        <f t="array" ref="AA87">[86]!PRECLOSE</f>
        <v>8588</v>
      </c>
      <c r="AB87" cm="1">
        <f t="array" ref="AB87">[86]!PRESETTLEPRICE</f>
        <v>8524</v>
      </c>
      <c r="AC87" t="s">
        <v>112</v>
      </c>
      <c r="AD87" t="s">
        <v>218</v>
      </c>
      <c r="AE87">
        <v>10</v>
      </c>
      <c r="AF87">
        <v>20260914</v>
      </c>
      <c r="AG87" t="e" cm="1">
        <f t="array" ref="AG87">[86]!MARGIN</f>
        <v>#N/A</v>
      </c>
      <c r="AH87" t="e" cm="1">
        <f t="array" ref="AH87">[86]!FEE</f>
        <v>#N/A</v>
      </c>
      <c r="AJ87" cm="1">
        <f t="array" ref="AJ87">[86]!IMPLYBIDVOLUME1</f>
        <v>0</v>
      </c>
      <c r="AK87" t="e" cm="1">
        <f t="array" ref="AK87">[86]!IMPLYBIDPRICE1</f>
        <v>#N/A</v>
      </c>
      <c r="AL87" t="e" cm="1">
        <f t="array" ref="AL87">[86]!IMPLYASKPRICE1</f>
        <v>#N/A</v>
      </c>
      <c r="AM87" cm="1">
        <f t="array" ref="AM87">[86]!IMPLYASKVOLUME1</f>
        <v>0</v>
      </c>
      <c r="AN87" cm="1">
        <f t="array" ref="AN87">[86]!VOLUMEBIDLOT</f>
        <v>0</v>
      </c>
      <c r="AO87" cm="1">
        <f t="array" ref="AO87">[86]!VOLUMEASKLOT</f>
        <v>0</v>
      </c>
    </row>
    <row r="88" spans="1:41" x14ac:dyDescent="0.25">
      <c r="A88" t="s">
        <v>219</v>
      </c>
      <c r="B88" t="s">
        <v>219</v>
      </c>
      <c r="C88" cm="1">
        <f t="array" ref="C88">[87]!NETVOLUME2200107473</f>
        <v>0</v>
      </c>
      <c r="D88" cm="1">
        <f t="array" ref="D88">[87]!LONGPOSITION2200107473</f>
        <v>0</v>
      </c>
      <c r="E88" cm="1">
        <f t="array" ref="E88">[87]!SHORTPOSITION2200107473</f>
        <v>0</v>
      </c>
      <c r="F88" cm="1">
        <f t="array" ref="F88">[87]!MTMPL2200107473</f>
        <v>0</v>
      </c>
      <c r="G88" cm="1">
        <f t="array" ref="G88">[87]!LASTPRICE</f>
        <v>24730</v>
      </c>
      <c r="H88" cm="1">
        <f t="array" ref="H88">[87]!NETCHANGE</f>
        <v>140</v>
      </c>
      <c r="I88" t="str" cm="1">
        <f t="array" ref="I88">[87]!NETCHANGERATE</f>
        <v>+0.57%</v>
      </c>
      <c r="J88" cm="1">
        <f t="array" ref="J88">[87]!BIDVOLUME1</f>
        <v>5</v>
      </c>
      <c r="K88" cm="1">
        <f t="array" ref="K88">[87]!BIDPRICE1</f>
        <v>24715</v>
      </c>
      <c r="L88" cm="1">
        <f t="array" ref="L88">[87]!ASKPRICE1</f>
        <v>24730</v>
      </c>
      <c r="M88" cm="1">
        <f t="array" ref="M88">[87]!ASKVOLUME1</f>
        <v>9</v>
      </c>
      <c r="N88" cm="1">
        <f t="array" ref="N88">[87]!OPENPRICE</f>
        <v>24600</v>
      </c>
      <c r="O88" cm="1">
        <f t="array" ref="O88">[87]!HIGH</f>
        <v>24745</v>
      </c>
      <c r="P88" cm="1">
        <f t="array" ref="P88">[87]!LOW</f>
        <v>24385</v>
      </c>
      <c r="Q88" cm="1">
        <f t="array" ref="Q88">[87]!TRADEVOLUME</f>
        <v>95271</v>
      </c>
      <c r="R88" cm="1">
        <f t="array" ref="R88">[87]!POSIVOL</f>
        <v>59621</v>
      </c>
      <c r="S88" t="e" cm="1">
        <f t="array" ref="S88">[87]!POSIVOLCHANGE</f>
        <v>#N/A</v>
      </c>
      <c r="T88" cm="1">
        <f t="array" ref="T88">[87]!POSIVOLCHANGEDAILY</f>
        <v>-7920</v>
      </c>
      <c r="U88" t="str" cm="1">
        <f t="array" ref="U88">[87]!INST_STATE</f>
        <v>连续交易</v>
      </c>
      <c r="V88" t="str" cm="1">
        <f t="array" ref="V88">[87]!UPDATETIME</f>
        <v>22:00:47.000</v>
      </c>
      <c r="W88" cm="1">
        <f t="array" ref="W88">[87]!UPPERLIMITPRICE</f>
        <v>27045</v>
      </c>
      <c r="X88" cm="1">
        <f t="array" ref="X88">[87]!LOWERLIMITPRICE</f>
        <v>22130</v>
      </c>
      <c r="Y88" t="e" cm="1">
        <f t="array" ref="Y88">[87]!CLOSEPRICE</f>
        <v>#N/A</v>
      </c>
      <c r="Z88" t="e" cm="1">
        <f t="array" ref="Z88">[87]!SETTLEPRICE</f>
        <v>#N/A</v>
      </c>
      <c r="AA88" cm="1">
        <f t="array" ref="AA88">[87]!PRECLOSE</f>
        <v>24640</v>
      </c>
      <c r="AB88" cm="1">
        <f t="array" ref="AB88">[87]!PRESETTLEPRICE</f>
        <v>24590</v>
      </c>
      <c r="AC88" t="s">
        <v>115</v>
      </c>
      <c r="AD88" t="s">
        <v>220</v>
      </c>
      <c r="AE88">
        <v>5</v>
      </c>
      <c r="AF88">
        <v>20260615</v>
      </c>
      <c r="AG88" t="e" cm="1">
        <f t="array" ref="AG88">[87]!MARGIN</f>
        <v>#N/A</v>
      </c>
      <c r="AH88" t="e" cm="1">
        <f t="array" ref="AH88">[87]!FEE</f>
        <v>#N/A</v>
      </c>
      <c r="AJ88" cm="1">
        <f t="array" ref="AJ88">[87]!IMPLYBIDVOLUME1</f>
        <v>0</v>
      </c>
      <c r="AK88" t="e" cm="1">
        <f t="array" ref="AK88">[87]!IMPLYBIDPRICE1</f>
        <v>#N/A</v>
      </c>
      <c r="AL88" t="e" cm="1">
        <f t="array" ref="AL88">[87]!IMPLYASKPRICE1</f>
        <v>#N/A</v>
      </c>
      <c r="AM88" cm="1">
        <f t="array" ref="AM88">[87]!IMPLYASKVOLUME1</f>
        <v>0</v>
      </c>
      <c r="AN88" cm="1">
        <f t="array" ref="AN88">[87]!VOLUMEBIDLOT</f>
        <v>0</v>
      </c>
      <c r="AO88" cm="1">
        <f t="array" ref="AO88">[87]!VOLUMEASKLOT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Miao Xin Yi</cp:lastModifiedBy>
  <dcterms:created xsi:type="dcterms:W3CDTF">2015-06-05T18:19:34Z</dcterms:created>
  <dcterms:modified xsi:type="dcterms:W3CDTF">2026-05-21T14:45:57Z</dcterms:modified>
</cp:coreProperties>
</file>